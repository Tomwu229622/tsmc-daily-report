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98" yWindow="-98" windowWidth="21795" windowHeight="12975" tabRatio="600" firstSheet="0" activeTab="6" autoFilterDateGrouping="1"/>
  </bookViews>
  <sheets>
    <sheet xmlns:r="http://schemas.openxmlformats.org/officeDocument/2006/relationships" name="封面總覽" sheetId="1" state="visible" r:id="rId1"/>
    <sheet xmlns:r="http://schemas.openxmlformats.org/officeDocument/2006/relationships" name="財務摘要" sheetId="2" state="visible" r:id="rId2"/>
    <sheet xmlns:r="http://schemas.openxmlformats.org/officeDocument/2006/relationships" name="營收結構分析" sheetId="3" state="visible" r:id="rId3"/>
    <sheet xmlns:r="http://schemas.openxmlformats.org/officeDocument/2006/relationships" name="2026展望" sheetId="4" state="visible" r:id="rId4"/>
    <sheet xmlns:r="http://schemas.openxmlformats.org/officeDocument/2006/relationships" name="股息記錄" sheetId="5" state="visible" r:id="rId5"/>
    <sheet xmlns:r="http://schemas.openxmlformats.org/officeDocument/2006/relationships" name="風險評估" sheetId="6" state="visible" r:id="rId6"/>
    <sheet xmlns:r="http://schemas.openxmlformats.org/officeDocument/2006/relationships" name="每日更新記錄" sheetId="7" state="visible" r:id="rId7"/>
  </sheets>
  <definedNames/>
  <calcPr calcId="191029" fullCalcOnLoad="1"/>
</workbook>
</file>

<file path=xl/styles.xml><?xml version="1.0" encoding="utf-8"?>
<styleSheet xmlns="http://schemas.openxmlformats.org/spreadsheetml/2006/main">
  <numFmts count="0"/>
  <fonts count="27">
    <font>
      <name val="新細明體"/>
      <family val="2"/>
      <color theme="1"/>
      <sz val="11"/>
      <scheme val="minor"/>
    </font>
    <font>
      <name val="Arial"/>
      <b val="1"/>
      <color rgb="FFFFFFFF"/>
      <sz val="22"/>
    </font>
    <font>
      <name val="Arial"/>
      <color rgb="FFBDD7EE"/>
      <sz val="13"/>
    </font>
    <font>
      <name val="Arial"/>
      <color rgb="FF1F3864"/>
      <sz val="11"/>
    </font>
    <font>
      <name val="Arial"/>
      <b val="1"/>
      <color rgb="FFFFFFFF"/>
      <sz val="11"/>
    </font>
    <font>
      <name val="Arial"/>
      <b val="1"/>
      <color rgb="FFFFFFFF"/>
      <sz val="10"/>
    </font>
    <font>
      <name val="Arial"/>
      <color rgb="FF404040"/>
      <sz val="10"/>
    </font>
    <font>
      <name val="Arial"/>
      <color rgb="FF000000"/>
      <sz val="10"/>
    </font>
    <font>
      <name val="Arial"/>
      <i val="1"/>
      <color rgb="FF808080"/>
      <sz val="9"/>
    </font>
    <font>
      <name val="Arial"/>
      <i val="1"/>
      <color rgb="FFFF0000"/>
      <sz val="9"/>
    </font>
    <font>
      <name val="Arial"/>
      <b val="1"/>
      <color rgb="FFFFFFFF"/>
      <sz val="14"/>
    </font>
    <font>
      <name val="Arial"/>
      <b val="1"/>
      <color rgb="FF1F3864"/>
      <sz val="10"/>
    </font>
    <font>
      <name val="Arial"/>
      <color rgb="FF00B050"/>
      <sz val="10"/>
    </font>
    <font>
      <name val="Arial"/>
      <color rgb="FFFF0000"/>
      <sz val="10"/>
    </font>
    <font>
      <name val="Arial"/>
      <color rgb="FF1F3864"/>
      <sz val="10"/>
    </font>
    <font>
      <name val="Arial"/>
      <b val="1"/>
      <color rgb="FF000000"/>
      <sz val="10"/>
    </font>
    <font>
      <name val="Arial"/>
      <b val="1"/>
      <sz val="10"/>
    </font>
    <font>
      <name val="Arial"/>
      <sz val="10"/>
    </font>
    <font>
      <name val="Arial"/>
      <b val="1"/>
      <color rgb="FF1F3864"/>
      <sz val="12"/>
    </font>
    <font>
      <name val="Arial"/>
      <i val="1"/>
      <color rgb="FF404040"/>
      <sz val="10"/>
    </font>
    <font>
      <name val="Arial"/>
      <b val="1"/>
      <color rgb="FF888888"/>
      <sz val="10"/>
    </font>
    <font>
      <name val="Arial"/>
      <b val="1"/>
      <color rgb="FF00B050"/>
      <sz val="10"/>
    </font>
    <font>
      <name val="Arial"/>
      <b val="1"/>
      <color rgb="FFFF0000"/>
      <sz val="10"/>
    </font>
    <font>
      <name val="新細明體"/>
      <charset val="136"/>
      <family val="3"/>
      <sz val="9"/>
      <scheme val="minor"/>
    </font>
    <font>
      <name val="Arial"/>
      <color rgb="00000000"/>
      <sz val="10"/>
    </font>
    <font>
      <name val="Arial"/>
      <b val="1"/>
      <color rgb="0000B050"/>
      <sz val="10"/>
    </font>
    <font>
      <name val="Arial"/>
      <b val="1"/>
      <color rgb="00FF0000"/>
      <sz val="10"/>
    </font>
  </fonts>
  <fills count="13">
    <fill>
      <patternFill/>
    </fill>
    <fill>
      <patternFill patternType="gray125"/>
    </fill>
    <fill>
      <patternFill patternType="solid">
        <fgColor rgb="FF1F3864"/>
      </patternFill>
    </fill>
    <fill>
      <patternFill patternType="solid">
        <fgColor rgb="FFBDD7EE"/>
      </patternFill>
    </fill>
    <fill>
      <patternFill patternType="solid">
        <fgColor rgb="FF2E75B6"/>
      </patternFill>
    </fill>
    <fill>
      <patternFill patternType="solid">
        <fgColor rgb="FFE9F2FB"/>
      </patternFill>
    </fill>
    <fill>
      <patternFill patternType="solid">
        <fgColor rgb="FFFFFFFF"/>
      </patternFill>
    </fill>
    <fill>
      <patternFill patternType="solid">
        <fgColor rgb="FFFFF2CC"/>
      </patternFill>
    </fill>
    <fill>
      <patternFill patternType="solid">
        <fgColor rgb="FFFFD7D7"/>
      </patternFill>
    </fill>
    <fill>
      <patternFill patternType="solid">
        <fgColor rgb="FFD7F0D7"/>
      </patternFill>
    </fill>
    <fill>
      <patternFill patternType="solid">
        <fgColor rgb="FFDEEAF1"/>
      </patternFill>
    </fill>
    <fill>
      <patternFill patternType="solid">
        <fgColor rgb="00FFFFFF"/>
      </patternFill>
    </fill>
    <fill>
      <patternFill patternType="solid">
        <fgColor rgb="00E9F2FB"/>
      </patternFill>
    </fill>
  </fills>
  <borders count="7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 style="thin">
        <color auto="1"/>
      </top>
      <bottom/>
      <diagonal/>
    </border>
    <border>
      <left/>
      <right style="thin">
        <color auto="1"/>
      </right>
      <top style="thin">
        <color auto="1"/>
      </top>
      <bottom/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58">
    <xf numFmtId="0" fontId="0" fillId="0" borderId="0" pivotButton="0" quotePrefix="0" xfId="0"/>
    <xf numFmtId="0" fontId="5" fillId="4" borderId="1" applyAlignment="1" pivotButton="0" quotePrefix="0" xfId="0">
      <alignment horizontal="center" vertical="center" wrapText="1"/>
    </xf>
    <xf numFmtId="0" fontId="6" fillId="5" borderId="1" applyAlignment="1" pivotButton="0" quotePrefix="0" xfId="0">
      <alignment horizontal="left" vertical="center"/>
    </xf>
    <xf numFmtId="0" fontId="7" fillId="5" borderId="1" applyAlignment="1" pivotButton="0" quotePrefix="0" xfId="0">
      <alignment horizontal="center" vertical="center"/>
    </xf>
    <xf numFmtId="0" fontId="6" fillId="6" borderId="1" applyAlignment="1" pivotButton="0" quotePrefix="0" xfId="0">
      <alignment horizontal="left" vertical="center"/>
    </xf>
    <xf numFmtId="0" fontId="7" fillId="6" borderId="1" applyAlignment="1" pivotButton="0" quotePrefix="0" xfId="0">
      <alignment horizontal="center" vertical="center"/>
    </xf>
    <xf numFmtId="0" fontId="11" fillId="6" borderId="1" applyAlignment="1" pivotButton="0" quotePrefix="0" xfId="0">
      <alignment horizontal="center" vertical="center"/>
    </xf>
    <xf numFmtId="0" fontId="12" fillId="6" borderId="1" applyAlignment="1" pivotButton="0" quotePrefix="0" xfId="0">
      <alignment horizontal="center" vertical="center"/>
    </xf>
    <xf numFmtId="0" fontId="7" fillId="6" borderId="1" applyAlignment="1" pivotButton="0" quotePrefix="0" xfId="0">
      <alignment horizontal="left" vertical="center"/>
    </xf>
    <xf numFmtId="0" fontId="11" fillId="5" borderId="1" applyAlignment="1" pivotButton="0" quotePrefix="0" xfId="0">
      <alignment horizontal="center" vertical="center"/>
    </xf>
    <xf numFmtId="0" fontId="12" fillId="5" borderId="1" applyAlignment="1" pivotButton="0" quotePrefix="0" xfId="0">
      <alignment horizontal="center" vertical="center"/>
    </xf>
    <xf numFmtId="0" fontId="7" fillId="5" borderId="1" applyAlignment="1" pivotButton="0" quotePrefix="0" xfId="0">
      <alignment horizontal="left" vertical="center"/>
    </xf>
    <xf numFmtId="0" fontId="13" fillId="5" borderId="1" applyAlignment="1" pivotButton="0" quotePrefix="0" xfId="0">
      <alignment horizontal="center" vertical="center"/>
    </xf>
    <xf numFmtId="0" fontId="13" fillId="6" borderId="1" applyAlignment="1" pivotButton="0" quotePrefix="0" xfId="0">
      <alignment horizontal="center" vertical="center"/>
    </xf>
    <xf numFmtId="0" fontId="14" fillId="5" borderId="1" applyAlignment="1" pivotButton="0" quotePrefix="0" xfId="0">
      <alignment horizontal="center" vertical="center"/>
    </xf>
    <xf numFmtId="0" fontId="14" fillId="6" borderId="1" applyAlignment="1" pivotButton="0" quotePrefix="0" xfId="0">
      <alignment horizontal="center" vertical="center"/>
    </xf>
    <xf numFmtId="0" fontId="6" fillId="3" borderId="1" applyAlignment="1" pivotButton="0" quotePrefix="0" xfId="0">
      <alignment horizontal="left" vertical="center"/>
    </xf>
    <xf numFmtId="0" fontId="11" fillId="3" borderId="1" applyAlignment="1" pivotButton="0" quotePrefix="0" xfId="0">
      <alignment horizontal="center" vertical="center"/>
    </xf>
    <xf numFmtId="0" fontId="7" fillId="3" borderId="1" applyAlignment="1" pivotButton="0" quotePrefix="0" xfId="0">
      <alignment horizontal="center" vertical="center"/>
    </xf>
    <xf numFmtId="0" fontId="7" fillId="3" borderId="1" applyAlignment="1" pivotButton="0" quotePrefix="0" xfId="0">
      <alignment horizontal="left" vertical="center"/>
    </xf>
    <xf numFmtId="0" fontId="15" fillId="6" borderId="1" applyAlignment="1" pivotButton="0" quotePrefix="0" xfId="0">
      <alignment horizontal="center" vertical="center"/>
    </xf>
    <xf numFmtId="0" fontId="15" fillId="5" borderId="1" applyAlignment="1" pivotButton="0" quotePrefix="0" xfId="0">
      <alignment horizontal="center" vertical="center"/>
    </xf>
    <xf numFmtId="0" fontId="15" fillId="7" borderId="1" applyAlignment="1" pivotButton="0" quotePrefix="0" xfId="0">
      <alignment horizontal="center" vertical="center"/>
    </xf>
    <xf numFmtId="0" fontId="11" fillId="7" borderId="1" applyAlignment="1" pivotButton="0" quotePrefix="0" xfId="0">
      <alignment horizontal="center" vertical="center"/>
    </xf>
    <xf numFmtId="0" fontId="12" fillId="7" borderId="1" applyAlignment="1" pivotButton="0" quotePrefix="0" xfId="0">
      <alignment horizontal="center" vertical="center"/>
    </xf>
    <xf numFmtId="0" fontId="7" fillId="7" borderId="1" applyAlignment="1" pivotButton="0" quotePrefix="0" xfId="0">
      <alignment horizontal="center" vertical="center"/>
    </xf>
    <xf numFmtId="0" fontId="7" fillId="7" borderId="1" applyAlignment="1" pivotButton="0" quotePrefix="0" xfId="0">
      <alignment horizontal="left" vertical="center"/>
    </xf>
    <xf numFmtId="0" fontId="16" fillId="8" borderId="1" applyAlignment="1" pivotButton="0" quotePrefix="0" xfId="0">
      <alignment horizontal="center" vertical="center"/>
    </xf>
    <xf numFmtId="0" fontId="16" fillId="7" borderId="1" applyAlignment="1" pivotButton="0" quotePrefix="0" xfId="0">
      <alignment horizontal="center" vertical="center"/>
    </xf>
    <xf numFmtId="0" fontId="16" fillId="9" borderId="1" applyAlignment="1" pivotButton="0" quotePrefix="0" xfId="0">
      <alignment horizontal="center" vertical="center"/>
    </xf>
    <xf numFmtId="0" fontId="20" fillId="5" borderId="1" applyAlignment="1" pivotButton="0" quotePrefix="0" xfId="0">
      <alignment horizontal="center" vertical="center"/>
    </xf>
    <xf numFmtId="0" fontId="21" fillId="6" borderId="1" applyAlignment="1" pivotButton="0" quotePrefix="0" xfId="0">
      <alignment horizontal="center" vertical="center"/>
    </xf>
    <xf numFmtId="0" fontId="21" fillId="5" borderId="1" applyAlignment="1" pivotButton="0" quotePrefix="0" xfId="0">
      <alignment horizontal="center" vertical="center"/>
    </xf>
    <xf numFmtId="0" fontId="22" fillId="6" borderId="1" applyAlignment="1" pivotButton="0" quotePrefix="0" xfId="0">
      <alignment horizontal="center" vertical="center"/>
    </xf>
    <xf numFmtId="0" fontId="22" fillId="5" borderId="1" applyAlignment="1" pivotButton="0" quotePrefix="0" xfId="0">
      <alignment horizontal="center" vertical="center"/>
    </xf>
    <xf numFmtId="0" fontId="1" fillId="2" borderId="0" applyAlignment="1" pivotButton="0" quotePrefix="0" xfId="0">
      <alignment horizontal="center" vertical="center"/>
    </xf>
    <xf numFmtId="0" fontId="0" fillId="0" borderId="0" pivotButton="0" quotePrefix="0" xfId="0"/>
    <xf numFmtId="0" fontId="8" fillId="0" borderId="0" applyAlignment="1" pivotButton="0" quotePrefix="0" xfId="0">
      <alignment horizontal="left"/>
    </xf>
    <xf numFmtId="0" fontId="4" fillId="4" borderId="1" applyAlignment="1" pivotButton="0" quotePrefix="0" xfId="0">
      <alignment horizontal="center" vertical="center" wrapText="1"/>
    </xf>
    <xf numFmtId="0" fontId="0" fillId="0" borderId="2" pivotButton="0" quotePrefix="0" xfId="0"/>
    <xf numFmtId="0" fontId="0" fillId="0" borderId="3" pivotButton="0" quotePrefix="0" xfId="0"/>
    <xf numFmtId="0" fontId="3" fillId="3" borderId="0" applyAlignment="1" pivotButton="0" quotePrefix="0" xfId="0">
      <alignment horizontal="center" vertical="center"/>
    </xf>
    <xf numFmtId="0" fontId="2" fillId="2" borderId="0" applyAlignment="1" pivotButton="0" quotePrefix="0" xfId="0">
      <alignment horizontal="center" vertical="center"/>
    </xf>
    <xf numFmtId="0" fontId="9" fillId="7" borderId="0" applyAlignment="1" pivotButton="0" quotePrefix="0" xfId="0">
      <alignment horizontal="left" wrapText="1"/>
    </xf>
    <xf numFmtId="0" fontId="10" fillId="2" borderId="0" applyAlignment="1" pivotButton="0" quotePrefix="0" xfId="0">
      <alignment horizontal="center" vertical="center"/>
    </xf>
    <xf numFmtId="0" fontId="8" fillId="0" borderId="0" pivotButton="0" quotePrefix="0" xfId="0"/>
    <xf numFmtId="0" fontId="17" fillId="5" borderId="1" applyAlignment="1" pivotButton="0" quotePrefix="0" xfId="0">
      <alignment horizontal="left" vertical="center" wrapText="1"/>
    </xf>
    <xf numFmtId="0" fontId="17" fillId="6" borderId="1" applyAlignment="1" pivotButton="0" quotePrefix="0" xfId="0">
      <alignment horizontal="left" vertical="center" wrapText="1"/>
    </xf>
    <xf numFmtId="0" fontId="18" fillId="7" borderId="0" applyAlignment="1" pivotButton="0" quotePrefix="0" xfId="0">
      <alignment horizontal="center" vertical="center"/>
    </xf>
    <xf numFmtId="0" fontId="19" fillId="10" borderId="0" applyAlignment="1" pivotButton="0" quotePrefix="0" xfId="0">
      <alignment horizontal="left" vertical="center" wrapText="1"/>
    </xf>
    <xf numFmtId="0" fontId="24" fillId="11" borderId="6" applyAlignment="1" pivotButton="0" quotePrefix="0" xfId="0">
      <alignment horizontal="center" vertical="center"/>
    </xf>
    <xf numFmtId="0" fontId="25" fillId="11" borderId="6" applyAlignment="1" pivotButton="0" quotePrefix="0" xfId="0">
      <alignment horizontal="center" vertical="center"/>
    </xf>
    <xf numFmtId="0" fontId="24" fillId="11" borderId="6" applyAlignment="1" pivotButton="0" quotePrefix="0" xfId="0">
      <alignment horizontal="left" vertical="center"/>
    </xf>
    <xf numFmtId="0" fontId="24" fillId="12" borderId="6" applyAlignment="1" pivotButton="0" quotePrefix="0" xfId="0">
      <alignment horizontal="center" vertical="center"/>
    </xf>
    <xf numFmtId="0" fontId="25" fillId="12" borderId="6" applyAlignment="1" pivotButton="0" quotePrefix="0" xfId="0">
      <alignment horizontal="center" vertical="center"/>
    </xf>
    <xf numFmtId="0" fontId="24" fillId="12" borderId="6" applyAlignment="1" pivotButton="0" quotePrefix="0" xfId="0">
      <alignment horizontal="left" vertical="center"/>
    </xf>
    <xf numFmtId="0" fontId="26" fillId="12" borderId="6" applyAlignment="1" pivotButton="0" quotePrefix="0" xfId="0">
      <alignment horizontal="center" vertical="center"/>
    </xf>
    <xf numFmtId="0" fontId="26" fillId="11" borderId="6" applyAlignment="1" pivotButton="0" quotePrefix="0" xfId="0">
      <alignment horizontal="center" vertical="center"/>
    </xf>
  </cellXfs>
  <cellStyles count="1">
    <cellStyle name="一般" xfId="0" builtinId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styles" Target="styles.xml" Id="rId8"/><Relationship Type="http://schemas.openxmlformats.org/officeDocument/2006/relationships/theme" Target="theme/theme1.xml" Id="rId9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D19"/>
  <sheetViews>
    <sheetView workbookViewId="0">
      <pane ySplit="6" topLeftCell="A7" activePane="bottomLeft" state="frozen"/>
      <selection pane="bottomLeft" activeCell="A1" sqref="A1:D1"/>
    </sheetView>
  </sheetViews>
  <sheetFormatPr baseColWidth="8" defaultRowHeight="15"/>
  <cols>
    <col width="28" customWidth="1" style="36" min="1" max="1"/>
    <col width="22" customWidth="1" style="36" min="2" max="4"/>
  </cols>
  <sheetData>
    <row r="1" ht="26.65" customHeight="1" s="36">
      <c r="A1" s="35" t="inlineStr">
        <is>
          <t>TSMC 台積電 (2330) 股市分析報告</t>
        </is>
      </c>
    </row>
    <row r="2" ht="60" customHeight="1" s="36">
      <c r="A2" s="42" t="inlineStr">
        <is>
          <t>Taiwan Semiconductor Manufacturing Company Limited</t>
        </is>
      </c>
    </row>
    <row r="3" ht="30" customHeight="1" s="36">
      <c r="A3" s="41" t="inlineStr">
        <is>
          <t>報告更新日期：2026-03-23</t>
        </is>
      </c>
    </row>
    <row r="4" ht="20" customHeight="1" s="36"/>
    <row r="5" ht="5" customHeight="1" s="36"/>
    <row r="6">
      <c r="A6" s="38" t="inlineStr">
        <is>
          <t>股票基本資訊</t>
        </is>
      </c>
      <c r="B6" s="39" t="n"/>
      <c r="C6" s="39" t="n"/>
      <c r="D6" s="40" t="n"/>
    </row>
    <row r="7">
      <c r="A7" s="1" t="inlineStr">
        <is>
          <t>項目</t>
        </is>
      </c>
      <c r="B7" s="1" t="inlineStr">
        <is>
          <t>台股 (2330.TW)</t>
        </is>
      </c>
      <c r="C7" s="1" t="inlineStr">
        <is>
          <t>NYSE ADR (TSM)</t>
        </is>
      </c>
      <c r="D7" s="1" t="inlineStr">
        <is>
          <t>備註</t>
        </is>
      </c>
    </row>
    <row r="8">
      <c r="A8" s="2" t="inlineStr">
        <is>
          <t>當前股價</t>
        </is>
      </c>
      <c r="B8" s="3" t="inlineStr">
        <is>
          <t>NT$1,900</t>
        </is>
      </c>
      <c r="C8" s="3" t="inlineStr">
        <is>
          <t>US$338.89</t>
        </is>
      </c>
      <c r="D8" s="3" t="inlineStr">
        <is>
          <t>2026-03-08收盤</t>
        </is>
      </c>
    </row>
    <row r="9">
      <c r="A9" s="4" t="inlineStr">
        <is>
          <t>52週最高</t>
        </is>
      </c>
      <c r="B9" s="5" t="inlineStr">
        <is>
          <t>NT$2,025</t>
        </is>
      </c>
      <c r="C9" s="5" t="inlineStr">
        <is>
          <t>US$426.42</t>
        </is>
      </c>
      <c r="D9" s="5" t="inlineStr">
        <is>
          <t>2026-02-25</t>
        </is>
      </c>
    </row>
    <row r="10">
      <c r="A10" s="2" t="inlineStr">
        <is>
          <t>52週最低</t>
        </is>
      </c>
      <c r="B10" s="3" t="inlineStr">
        <is>
          <t>NT$1,015</t>
        </is>
      </c>
      <c r="C10" s="3" t="inlineStr">
        <is>
          <t>US$133.15</t>
        </is>
      </c>
      <c r="D10" s="3" t="inlineStr">
        <is>
          <t>—</t>
        </is>
      </c>
    </row>
    <row r="11">
      <c r="A11" s="4" t="inlineStr">
        <is>
          <t>市值</t>
        </is>
      </c>
      <c r="B11" s="5" t="inlineStr">
        <is>
          <t>NT$49.27 兆</t>
        </is>
      </c>
      <c r="C11" s="5" t="inlineStr">
        <is>
          <t>—</t>
        </is>
      </c>
      <c r="D11" s="5" t="inlineStr">
        <is>
          <t>—</t>
        </is>
      </c>
    </row>
    <row r="12">
      <c r="A12" s="2" t="inlineStr">
        <is>
          <t>Beta值</t>
        </is>
      </c>
      <c r="B12" s="3" t="inlineStr">
        <is>
          <t>1.16</t>
        </is>
      </c>
      <c r="C12" s="3" t="inlineStr">
        <is>
          <t>1.16</t>
        </is>
      </c>
      <c r="D12" s="3" t="inlineStr">
        <is>
          <t>市場敏感度</t>
        </is>
      </c>
    </row>
    <row r="13">
      <c r="A13" s="4" t="inlineStr">
        <is>
          <t>股價波動率</t>
        </is>
      </c>
      <c r="B13" s="5" t="inlineStr">
        <is>
          <t>1.06%</t>
        </is>
      </c>
      <c r="C13" s="5" t="inlineStr">
        <is>
          <t>1.06%</t>
        </is>
      </c>
      <c r="D13" s="5" t="inlineStr">
        <is>
          <t>年化</t>
        </is>
      </c>
    </row>
    <row r="14">
      <c r="A14" s="2" t="inlineStr">
        <is>
          <t>下次除息日</t>
        </is>
      </c>
      <c r="B14" s="3" t="inlineStr">
        <is>
          <t>2026-03-17</t>
        </is>
      </c>
      <c r="C14" s="3" t="inlineStr">
        <is>
          <t>2026-03-17</t>
        </is>
      </c>
      <c r="D14" s="3" t="inlineStr">
        <is>
          <t>NT$6.00/股</t>
        </is>
      </c>
    </row>
    <row r="15">
      <c r="A15" s="4" t="inlineStr">
        <is>
          <t>下次財報日</t>
        </is>
      </c>
      <c r="B15" s="5" t="inlineStr">
        <is>
          <t>2026-04-16</t>
        </is>
      </c>
      <c r="C15" s="5" t="inlineStr">
        <is>
          <t>2026-04-16</t>
        </is>
      </c>
      <c r="D15" s="5" t="inlineStr">
        <is>
          <t>Q1 2026</t>
        </is>
      </c>
    </row>
    <row r="17" ht="8" customHeight="1" s="36"/>
    <row r="18">
      <c r="A18" s="37" t="inlineStr">
        <is>
          <t>Source: Yahoo Finance, CNBC, MarketScreener, 2026-03-09</t>
        </is>
      </c>
    </row>
    <row r="19" ht="25.05" customHeight="1" s="36">
      <c r="A19" s="43" t="inlineStr">
        <is>
          <t>⚠ 免責聲明：本報告僅供參考，不構成任何投資建議。投資有風險，請自行評估並諮詢專業顧問。</t>
        </is>
      </c>
    </row>
  </sheetData>
  <mergeCells count="6">
    <mergeCell ref="A1:D1"/>
    <mergeCell ref="A18:D18"/>
    <mergeCell ref="A6:D6"/>
    <mergeCell ref="A3:D3"/>
    <mergeCell ref="A19:D19"/>
    <mergeCell ref="A2:D2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F23"/>
  <sheetViews>
    <sheetView workbookViewId="0">
      <pane ySplit="4" topLeftCell="A5" activePane="bottomLeft" state="frozen"/>
      <selection pane="bottomLeft" activeCell="A1" sqref="A1:F1"/>
    </sheetView>
  </sheetViews>
  <sheetFormatPr baseColWidth="8" defaultRowHeight="15"/>
  <cols>
    <col width="30" customWidth="1" style="36" min="1" max="1"/>
    <col width="18" customWidth="1" style="36" min="2" max="5"/>
    <col width="22" customWidth="1" style="36" min="6" max="6"/>
  </cols>
  <sheetData>
    <row r="1" ht="30" customHeight="1" s="36">
      <c r="A1" s="44" t="inlineStr">
        <is>
          <t>TSMC 財務摘要 | Financial Summary</t>
        </is>
      </c>
    </row>
    <row r="3">
      <c r="A3" s="38" t="inlineStr">
        <is>
          <t>季度財務數據 (Quarterly P&amp;L)</t>
        </is>
      </c>
      <c r="B3" s="39" t="n"/>
      <c r="C3" s="39" t="n"/>
      <c r="D3" s="39" t="n"/>
      <c r="E3" s="39" t="n"/>
      <c r="F3" s="40" t="n"/>
    </row>
    <row r="4">
      <c r="A4" s="1" t="inlineStr">
        <is>
          <t>財務指標</t>
        </is>
      </c>
      <c r="B4" s="1" t="inlineStr">
        <is>
          <t>Q4 2025</t>
        </is>
      </c>
      <c r="C4" s="1" t="inlineStr">
        <is>
          <t>Q3 2025</t>
        </is>
      </c>
      <c r="D4" s="1" t="inlineStr">
        <is>
          <t>Q4 2024</t>
        </is>
      </c>
      <c r="E4" s="1" t="inlineStr">
        <is>
          <t>YoY變化</t>
        </is>
      </c>
      <c r="F4" s="1" t="inlineStr">
        <is>
          <t>備註</t>
        </is>
      </c>
    </row>
    <row r="5">
      <c r="A5" s="4" t="inlineStr">
        <is>
          <t>合併營收 (NT$ B)</t>
        </is>
      </c>
      <c r="B5" s="6" t="inlineStr">
        <is>
          <t>1,046.09</t>
        </is>
      </c>
      <c r="C5" s="5" t="inlineStr">
        <is>
          <t>~975</t>
        </is>
      </c>
      <c r="D5" s="5" t="inlineStr">
        <is>
          <t>~759</t>
        </is>
      </c>
      <c r="E5" s="7" t="inlineStr">
        <is>
          <t>+37.8% YoY</t>
        </is>
      </c>
      <c r="F5" s="8" t="inlineStr">
        <is>
          <t>Source: TSMC PR 2026-01-16</t>
        </is>
      </c>
    </row>
    <row r="6">
      <c r="A6" s="2" t="inlineStr">
        <is>
          <t>淨利 (NT$ B)</t>
        </is>
      </c>
      <c r="B6" s="9" t="inlineStr">
        <is>
          <t>505.74</t>
        </is>
      </c>
      <c r="C6" s="3" t="inlineStr">
        <is>
          <t>~452.30</t>
        </is>
      </c>
      <c r="D6" s="3" t="inlineStr">
        <is>
          <t>~374</t>
        </is>
      </c>
      <c r="E6" s="10" t="inlineStr">
        <is>
          <t>+35.3% YoY</t>
        </is>
      </c>
      <c r="F6" s="11" t="inlineStr">
        <is>
          <t>Source: TSMC PR 2026-01-16</t>
        </is>
      </c>
    </row>
    <row r="7">
      <c r="A7" s="4" t="inlineStr">
        <is>
          <t>每股盈餘 EPS (NT$)</t>
        </is>
      </c>
      <c r="B7" s="6" t="inlineStr">
        <is>
          <t>19.50</t>
        </is>
      </c>
      <c r="C7" s="5" t="inlineStr">
        <is>
          <t>~17.40</t>
        </is>
      </c>
      <c r="D7" s="5" t="inlineStr">
        <is>
          <t>~14.45</t>
        </is>
      </c>
      <c r="E7" s="7" t="inlineStr">
        <is>
          <t>+34.9% YoY</t>
        </is>
      </c>
      <c r="F7" s="8" t="inlineStr">
        <is>
          <t>Source: TSMC PR 2026-01-16, Q4 EPS</t>
        </is>
      </c>
    </row>
    <row r="8">
      <c r="A8" s="2" t="inlineStr">
        <is>
          <t>毛利率</t>
        </is>
      </c>
      <c r="B8" s="9" t="inlineStr">
        <is>
          <t>62.3%</t>
        </is>
      </c>
      <c r="C8" s="3" t="inlineStr">
        <is>
          <t>57.8%</t>
        </is>
      </c>
      <c r="D8" s="3" t="inlineStr">
        <is>
          <t>~53%</t>
        </is>
      </c>
      <c r="E8" s="10" t="inlineStr">
        <is>
          <t>+9.3pp YoY</t>
        </is>
      </c>
      <c r="F8" s="11" t="inlineStr">
        <is>
          <t>Source: TSMC Earnings Q4 2025</t>
        </is>
      </c>
    </row>
    <row r="9">
      <c r="A9" s="4" t="inlineStr">
        <is>
          <t>營業利益率</t>
        </is>
      </c>
      <c r="B9" s="6" t="inlineStr">
        <is>
          <t>54.0%</t>
        </is>
      </c>
      <c r="C9" s="5" t="inlineStr">
        <is>
          <t>50.6%</t>
        </is>
      </c>
      <c r="D9" s="5" t="inlineStr">
        <is>
          <t>~46.7%</t>
        </is>
      </c>
      <c r="E9" s="7" t="inlineStr">
        <is>
          <t>+7.3pp YoY</t>
        </is>
      </c>
      <c r="F9" s="8" t="inlineStr">
        <is>
          <t>Source: TSMC Earnings Q4 2025</t>
        </is>
      </c>
    </row>
    <row r="10">
      <c r="A10" s="2" t="inlineStr">
        <is>
          <t>ROE</t>
        </is>
      </c>
      <c r="B10" s="9" t="inlineStr">
        <is>
          <t>38.8%</t>
        </is>
      </c>
      <c r="C10" s="3" t="inlineStr">
        <is>
          <t>~36%</t>
        </is>
      </c>
      <c r="D10" s="3" t="inlineStr">
        <is>
          <t>~29%</t>
        </is>
      </c>
      <c r="E10" s="10" t="inlineStr">
        <is>
          <t>+9.8pp YoY</t>
        </is>
      </c>
      <c r="F10" s="11" t="inlineStr">
        <is>
          <t>Source: TSMC Earnings Q4 2025</t>
        </is>
      </c>
    </row>
    <row r="12" ht="8" customHeight="1" s="36"/>
    <row r="13">
      <c r="A13" s="38" t="inlineStr">
        <is>
          <t>全年財務數據 (Full-Year 2025 vs 2024)</t>
        </is>
      </c>
      <c r="B13" s="39" t="n"/>
      <c r="C13" s="39" t="n"/>
      <c r="D13" s="39" t="n"/>
      <c r="E13" s="39" t="n"/>
      <c r="F13" s="40" t="n"/>
    </row>
    <row r="14">
      <c r="A14" s="1" t="inlineStr">
        <is>
          <t>財務指標</t>
        </is>
      </c>
      <c r="B14" s="1" t="inlineStr">
        <is>
          <t>FY 2025</t>
        </is>
      </c>
      <c r="C14" s="1" t="inlineStr">
        <is>
          <t>FY 2024</t>
        </is>
      </c>
      <c r="D14" s="1" t="inlineStr">
        <is>
          <t>YoY變化 (%)</t>
        </is>
      </c>
      <c r="E14" s="1" t="inlineStr">
        <is>
          <t>YoY變化 (pp)</t>
        </is>
      </c>
      <c r="F14" s="1" t="inlineStr">
        <is>
          <t>備註</t>
        </is>
      </c>
    </row>
    <row r="15">
      <c r="A15" s="4" t="inlineStr">
        <is>
          <t>合併營收 (NT$ 兆)</t>
        </is>
      </c>
      <c r="B15" s="6" t="inlineStr">
        <is>
          <t>3.8</t>
        </is>
      </c>
      <c r="C15" s="5" t="inlineStr">
        <is>
          <t>2.89</t>
        </is>
      </c>
      <c r="D15" s="7" t="inlineStr">
        <is>
          <t>+31.6%</t>
        </is>
      </c>
      <c r="E15" s="7" t="inlineStr">
        <is>
          <t>—</t>
        </is>
      </c>
      <c r="F15" s="8" t="inlineStr">
        <is>
          <t>Source: TSMC Annual Results 2025</t>
        </is>
      </c>
    </row>
    <row r="16">
      <c r="A16" s="2" t="inlineStr">
        <is>
          <t>合併營收 (USD B)</t>
        </is>
      </c>
      <c r="B16" s="9" t="inlineStr">
        <is>
          <t>122</t>
        </is>
      </c>
      <c r="C16" s="3" t="inlineStr">
        <is>
          <t>89.5</t>
        </is>
      </c>
      <c r="D16" s="10" t="inlineStr">
        <is>
          <t>+36.4%</t>
        </is>
      </c>
      <c r="E16" s="10" t="inlineStr">
        <is>
          <t>—</t>
        </is>
      </c>
      <c r="F16" s="11" t="inlineStr">
        <is>
          <t>Source: TSMC Annual Results 2025</t>
        </is>
      </c>
    </row>
    <row r="17">
      <c r="A17" s="4" t="inlineStr">
        <is>
          <t>全年毛利率</t>
        </is>
      </c>
      <c r="B17" s="6" t="inlineStr">
        <is>
          <t>59.9%</t>
        </is>
      </c>
      <c r="C17" s="5" t="inlineStr">
        <is>
          <t>53.0%</t>
        </is>
      </c>
      <c r="D17" s="7" t="inlineStr">
        <is>
          <t>+3.8pp</t>
        </is>
      </c>
      <c r="E17" s="7" t="inlineStr">
        <is>
          <t>+3.8</t>
        </is>
      </c>
      <c r="F17" s="8" t="inlineStr">
        <is>
          <t>Source: TSMC Annual Results 2025</t>
        </is>
      </c>
    </row>
    <row r="18">
      <c r="A18" s="2" t="inlineStr">
        <is>
          <t>全年營業利益率</t>
        </is>
      </c>
      <c r="B18" s="9" t="inlineStr">
        <is>
          <t>50.8%</t>
        </is>
      </c>
      <c r="C18" s="3" t="inlineStr">
        <is>
          <t>42.6%</t>
        </is>
      </c>
      <c r="D18" s="10" t="inlineStr">
        <is>
          <t>+5.1pp</t>
        </is>
      </c>
      <c r="E18" s="10" t="inlineStr">
        <is>
          <t>+5.1</t>
        </is>
      </c>
      <c r="F18" s="11" t="inlineStr">
        <is>
          <t>Source: TSMC Annual Results 2025</t>
        </is>
      </c>
    </row>
    <row r="19">
      <c r="A19" s="4" t="inlineStr">
        <is>
          <t>全年 EPS (NT$)</t>
        </is>
      </c>
      <c r="B19" s="6" t="inlineStr">
        <is>
          <t>66.25</t>
        </is>
      </c>
      <c r="C19" s="5" t="inlineStr">
        <is>
          <t>45.25</t>
        </is>
      </c>
      <c r="D19" s="7" t="inlineStr">
        <is>
          <t>+46.4%</t>
        </is>
      </c>
      <c r="E19" s="7" t="inlineStr">
        <is>
          <t>—</t>
        </is>
      </c>
      <c r="F19" s="8" t="inlineStr">
        <is>
          <t>Source: TSMC Annual Results 2025</t>
        </is>
      </c>
    </row>
    <row r="20">
      <c r="A20" s="2" t="inlineStr">
        <is>
          <t>全年 ROE</t>
        </is>
      </c>
      <c r="B20" s="9" t="inlineStr">
        <is>
          <t>35.4%</t>
        </is>
      </c>
      <c r="C20" s="3" t="inlineStr">
        <is>
          <t>26.8%</t>
        </is>
      </c>
      <c r="D20" s="10" t="inlineStr">
        <is>
          <t>+8.6pp</t>
        </is>
      </c>
      <c r="E20" s="10" t="inlineStr">
        <is>
          <t>+8.6</t>
        </is>
      </c>
      <c r="F20" s="11" t="inlineStr">
        <is>
          <t>Source: TSMC Annual Results 2025</t>
        </is>
      </c>
    </row>
    <row r="21">
      <c r="A21" s="4" t="inlineStr">
        <is>
          <t>營業現金流 (NT$ 兆)</t>
        </is>
      </c>
      <c r="B21" s="6" t="inlineStr">
        <is>
          <t>2.3</t>
        </is>
      </c>
      <c r="C21" s="5" t="inlineStr">
        <is>
          <t>1.97</t>
        </is>
      </c>
      <c r="D21" s="7" t="inlineStr">
        <is>
          <t>+16.8%</t>
        </is>
      </c>
      <c r="E21" s="7" t="inlineStr">
        <is>
          <t>—</t>
        </is>
      </c>
      <c r="F21" s="8" t="inlineStr">
        <is>
          <t>Source: TSMC Annual Results 2025</t>
        </is>
      </c>
    </row>
    <row r="22">
      <c r="A22" s="2" t="inlineStr">
        <is>
          <t>自由現金流 (NT$ 兆)</t>
        </is>
      </c>
      <c r="B22" s="9" t="inlineStr">
        <is>
          <t>1.0</t>
        </is>
      </c>
      <c r="C22" s="3" t="inlineStr">
        <is>
          <t>0.87</t>
        </is>
      </c>
      <c r="D22" s="10" t="inlineStr">
        <is>
          <t>+15.2%</t>
        </is>
      </c>
      <c r="E22" s="10" t="inlineStr">
        <is>
          <t>—</t>
        </is>
      </c>
      <c r="F22" s="11" t="inlineStr">
        <is>
          <t>Source: TSMC Annual Results 2025</t>
        </is>
      </c>
    </row>
    <row r="23">
      <c r="A23" s="4" t="inlineStr">
        <is>
          <t>現金及有價證券 (NT$ 兆)</t>
        </is>
      </c>
      <c r="B23" s="6" t="inlineStr">
        <is>
          <t>3.1</t>
        </is>
      </c>
      <c r="C23" s="5" t="inlineStr">
        <is>
          <t>—</t>
        </is>
      </c>
      <c r="D23" s="7" t="inlineStr">
        <is>
          <t>—</t>
        </is>
      </c>
      <c r="E23" s="7" t="inlineStr">
        <is>
          <t>—</t>
        </is>
      </c>
      <c r="F23" s="8" t="inlineStr">
        <is>
          <t>Source: TSMC Annual Results 2025</t>
        </is>
      </c>
    </row>
  </sheetData>
  <mergeCells count="3">
    <mergeCell ref="A3:F3"/>
    <mergeCell ref="A13:F13"/>
    <mergeCell ref="A1:F1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E21"/>
  <sheetViews>
    <sheetView workbookViewId="0">
      <pane ySplit="4" topLeftCell="A5" activePane="bottomLeft" state="frozen"/>
      <selection pane="bottomLeft" activeCell="A1" sqref="A1:E1"/>
    </sheetView>
  </sheetViews>
  <sheetFormatPr baseColWidth="8" defaultRowHeight="15"/>
  <cols>
    <col width="28" customWidth="1" style="36" min="1" max="1"/>
    <col width="16" customWidth="1" style="36" min="2" max="4"/>
    <col width="20" customWidth="1" style="36" min="5" max="5"/>
  </cols>
  <sheetData>
    <row r="1" ht="30" customHeight="1" s="36">
      <c r="A1" s="44" t="inlineStr">
        <is>
          <t>TSMC 營收結構分析 | Revenue Breakdown Q4 2025</t>
        </is>
      </c>
    </row>
    <row r="3">
      <c r="A3" s="38" t="inlineStr">
        <is>
          <t>業務別營收佔比 (Business Segment)</t>
        </is>
      </c>
      <c r="B3" s="39" t="n"/>
      <c r="C3" s="39" t="n"/>
      <c r="D3" s="39" t="n"/>
      <c r="E3" s="40" t="n"/>
    </row>
    <row r="4">
      <c r="A4" s="1" t="inlineStr">
        <is>
          <t>業務別</t>
        </is>
      </c>
      <c r="B4" s="1" t="inlineStr">
        <is>
          <t>Q4 2025 佔比</t>
        </is>
      </c>
      <c r="C4" s="1" t="inlineStr">
        <is>
          <t>QoQ變化</t>
        </is>
      </c>
      <c r="D4" s="1" t="inlineStr">
        <is>
          <t>FY 2025 佔比</t>
        </is>
      </c>
      <c r="E4" s="1" t="inlineStr">
        <is>
          <t>YoY變化</t>
        </is>
      </c>
    </row>
    <row r="5">
      <c r="A5" s="4" t="inlineStr">
        <is>
          <t>HPC (高效能運算)</t>
        </is>
      </c>
      <c r="B5" s="6" t="inlineStr">
        <is>
          <t>55%</t>
        </is>
      </c>
      <c r="C5" s="7" t="inlineStr">
        <is>
          <t>+4%</t>
        </is>
      </c>
      <c r="D5" s="5" t="inlineStr">
        <is>
          <t>58%</t>
        </is>
      </c>
      <c r="E5" s="7" t="inlineStr">
        <is>
          <t>+48% YoY</t>
        </is>
      </c>
    </row>
    <row r="6">
      <c r="A6" s="2" t="inlineStr">
        <is>
          <t>智慧型手機</t>
        </is>
      </c>
      <c r="B6" s="9" t="inlineStr">
        <is>
          <t>28%</t>
        </is>
      </c>
      <c r="C6" s="10" t="inlineStr">
        <is>
          <t>+11%</t>
        </is>
      </c>
      <c r="D6" s="3" t="inlineStr">
        <is>
          <t>25%</t>
        </is>
      </c>
      <c r="E6" s="10" t="inlineStr">
        <is>
          <t>+11% YoY</t>
        </is>
      </c>
    </row>
    <row r="7">
      <c r="A7" s="4" t="inlineStr">
        <is>
          <t>IoT (物聯網)</t>
        </is>
      </c>
      <c r="B7" s="6" t="inlineStr">
        <is>
          <t>5%</t>
        </is>
      </c>
      <c r="C7" s="7" t="inlineStr">
        <is>
          <t>+3%</t>
        </is>
      </c>
      <c r="D7" s="5" t="inlineStr">
        <is>
          <t>6%</t>
        </is>
      </c>
      <c r="E7" s="7" t="inlineStr">
        <is>
          <t>—</t>
        </is>
      </c>
    </row>
    <row r="8">
      <c r="A8" s="2" t="inlineStr">
        <is>
          <t>汽車電子</t>
        </is>
      </c>
      <c r="B8" s="9" t="inlineStr">
        <is>
          <t>5%</t>
        </is>
      </c>
      <c r="C8" s="12" t="inlineStr">
        <is>
          <t>-1%</t>
        </is>
      </c>
      <c r="D8" s="3" t="inlineStr">
        <is>
          <t>5%</t>
        </is>
      </c>
      <c r="E8" s="10" t="inlineStr">
        <is>
          <t>—</t>
        </is>
      </c>
    </row>
    <row r="9">
      <c r="A9" s="4" t="inlineStr">
        <is>
          <t>DCE (數位消費電子)</t>
        </is>
      </c>
      <c r="B9" s="6" t="inlineStr">
        <is>
          <t>1%</t>
        </is>
      </c>
      <c r="C9" s="13" t="inlineStr">
        <is>
          <t>-22%</t>
        </is>
      </c>
      <c r="D9" s="5" t="inlineStr">
        <is>
          <t>1%</t>
        </is>
      </c>
      <c r="E9" s="7" t="inlineStr">
        <is>
          <t>—</t>
        </is>
      </c>
    </row>
    <row r="10">
      <c r="A10" s="2" t="inlineStr">
        <is>
          <t>AI 加速器</t>
        </is>
      </c>
      <c r="B10" s="9" t="inlineStr">
        <is>
          <t>High-teens%</t>
        </is>
      </c>
      <c r="C10" s="3" t="inlineStr">
        <is>
          <t>—</t>
        </is>
      </c>
      <c r="D10" s="3" t="inlineStr">
        <is>
          <t>High-teens%</t>
        </is>
      </c>
      <c r="E10" s="10" t="inlineStr">
        <is>
          <t>快速成長</t>
        </is>
      </c>
    </row>
    <row r="11">
      <c r="A11" s="45" t="inlineStr">
        <is>
          <t>Source: TSMC Q4 2025 Earnings Call, 2026-01-16</t>
        </is>
      </c>
    </row>
    <row r="13" ht="8" customHeight="1" s="36"/>
    <row r="14">
      <c r="A14" s="38" t="inlineStr">
        <is>
          <t>製程節點佔比 (Technology Node Mix) — Q4 2025</t>
        </is>
      </c>
      <c r="B14" s="39" t="n"/>
      <c r="C14" s="39" t="n"/>
      <c r="D14" s="39" t="n"/>
      <c r="E14" s="40" t="n"/>
    </row>
    <row r="15">
      <c r="A15" s="1" t="inlineStr">
        <is>
          <t>製程節點</t>
        </is>
      </c>
      <c r="B15" s="1" t="inlineStr">
        <is>
          <t>晶圓營收佔比</t>
        </is>
      </c>
      <c r="C15" s="1" t="inlineStr">
        <is>
          <t>技術分類</t>
        </is>
      </c>
      <c r="D15" s="1" t="inlineStr">
        <is>
          <t>狀態</t>
        </is>
      </c>
      <c r="E15" s="1" t="inlineStr">
        <is>
          <t>備註</t>
        </is>
      </c>
    </row>
    <row r="16">
      <c r="A16" s="2" t="inlineStr">
        <is>
          <t>N3 (3奈米)</t>
        </is>
      </c>
      <c r="B16" s="14" t="inlineStr">
        <is>
          <t>28%</t>
        </is>
      </c>
      <c r="C16" s="3" t="inlineStr">
        <is>
          <t>先進製程 ≤7nm</t>
        </is>
      </c>
      <c r="D16" s="3" t="inlineStr">
        <is>
          <t>量產中</t>
        </is>
      </c>
      <c r="E16" s="11" t="inlineStr">
        <is>
          <t>高效能、低功耗</t>
        </is>
      </c>
    </row>
    <row r="17">
      <c r="A17" s="4" t="inlineStr">
        <is>
          <t>N5 (5奈米)</t>
        </is>
      </c>
      <c r="B17" s="15" t="inlineStr">
        <is>
          <t>35%</t>
        </is>
      </c>
      <c r="C17" s="5" t="inlineStr">
        <is>
          <t>先進製程 ≤7nm</t>
        </is>
      </c>
      <c r="D17" s="5" t="inlineStr">
        <is>
          <t>量產中</t>
        </is>
      </c>
      <c r="E17" s="8" t="inlineStr">
        <is>
          <t>主力製程</t>
        </is>
      </c>
    </row>
    <row r="18">
      <c r="A18" s="2" t="inlineStr">
        <is>
          <t>N7 (7奈米)</t>
        </is>
      </c>
      <c r="B18" s="14" t="inlineStr">
        <is>
          <t>14%</t>
        </is>
      </c>
      <c r="C18" s="3" t="inlineStr">
        <is>
          <t>先進製程 ≤7nm</t>
        </is>
      </c>
      <c r="D18" s="3" t="inlineStr">
        <is>
          <t>量產中</t>
        </is>
      </c>
      <c r="E18" s="11" t="inlineStr">
        <is>
          <t>成熟先進製程</t>
        </is>
      </c>
    </row>
    <row r="19">
      <c r="A19" s="16" t="inlineStr">
        <is>
          <t>小計 ≤7nm</t>
        </is>
      </c>
      <c r="B19" s="17" t="inlineStr">
        <is>
          <t>77%</t>
        </is>
      </c>
      <c r="C19" s="18" t="inlineStr">
        <is>
          <t>先進製程合計</t>
        </is>
      </c>
      <c r="D19" s="18" t="inlineStr">
        <is>
          <t>—</t>
        </is>
      </c>
      <c r="E19" s="19">
        <f>SUM(B16:B18)</f>
        <v/>
      </c>
    </row>
    <row r="20">
      <c r="A20" s="2" t="inlineStr">
        <is>
          <t>N2 (2奈米)</t>
        </is>
      </c>
      <c r="B20" s="14" t="inlineStr">
        <is>
          <t>初期</t>
        </is>
      </c>
      <c r="C20" s="3" t="inlineStr">
        <is>
          <t>次世代製程</t>
        </is>
      </c>
      <c r="D20" s="3" t="inlineStr">
        <is>
          <t>HVM啟動</t>
        </is>
      </c>
      <c r="E20" s="11" t="inlineStr">
        <is>
          <t>Q4 2025進入高量產</t>
        </is>
      </c>
    </row>
    <row r="21">
      <c r="A21" s="4" t="inlineStr">
        <is>
          <t>N2P / A16</t>
        </is>
      </c>
      <c r="B21" s="15" t="inlineStr">
        <is>
          <t>—</t>
        </is>
      </c>
      <c r="C21" s="5" t="inlineStr">
        <is>
          <t>次世代製程</t>
        </is>
      </c>
      <c r="D21" s="5" t="inlineStr">
        <is>
          <t>2026 H2</t>
        </is>
      </c>
      <c r="E21" s="8" t="inlineStr">
        <is>
          <t>計畫2026下半年量產</t>
        </is>
      </c>
    </row>
  </sheetData>
  <mergeCells count="4">
    <mergeCell ref="A11:E11"/>
    <mergeCell ref="A14:E14"/>
    <mergeCell ref="A1:E1"/>
    <mergeCell ref="A3:E3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D20"/>
  <sheetViews>
    <sheetView workbookViewId="0">
      <pane ySplit="4" topLeftCell="A5" activePane="bottomLeft" state="frozen"/>
      <selection pane="bottomLeft" activeCell="A1" sqref="A1:D1"/>
    </sheetView>
  </sheetViews>
  <sheetFormatPr baseColWidth="8" defaultRowHeight="15"/>
  <cols>
    <col width="30" customWidth="1" style="36" min="1" max="1"/>
    <col width="22" customWidth="1" style="36" min="2" max="4"/>
  </cols>
  <sheetData>
    <row r="1" ht="30" customHeight="1" s="36">
      <c r="A1" s="44" t="inlineStr">
        <is>
          <t>TSMC 2026年展望 | 2026 Outlook &amp; Guidance</t>
        </is>
      </c>
    </row>
    <row r="3">
      <c r="A3" s="38" t="inlineStr">
        <is>
          <t>Q1 2026 管理層指引 (Management Guidance)</t>
        </is>
      </c>
      <c r="B3" s="39" t="n"/>
      <c r="C3" s="39" t="n"/>
      <c r="D3" s="40" t="n"/>
    </row>
    <row r="4">
      <c r="A4" s="1" t="inlineStr">
        <is>
          <t>指標</t>
        </is>
      </c>
      <c r="B4" s="1" t="inlineStr">
        <is>
          <t>指引下限</t>
        </is>
      </c>
      <c r="C4" s="1" t="inlineStr">
        <is>
          <t>指引上限</t>
        </is>
      </c>
      <c r="D4" s="1" t="inlineStr">
        <is>
          <t>指引中位數</t>
        </is>
      </c>
    </row>
    <row r="5">
      <c r="A5" s="4" t="inlineStr">
        <is>
          <t>Q1 2026 營收 (USD B)</t>
        </is>
      </c>
      <c r="B5" s="5" t="inlineStr">
        <is>
          <t>34.6</t>
        </is>
      </c>
      <c r="C5" s="5" t="inlineStr">
        <is>
          <t>35.8</t>
        </is>
      </c>
      <c r="D5" s="6" t="inlineStr">
        <is>
          <t>35.2 (中位數)</t>
        </is>
      </c>
    </row>
    <row r="6">
      <c r="A6" s="2" t="inlineStr">
        <is>
          <t>Q1 2026 毛利率</t>
        </is>
      </c>
      <c r="B6" s="3" t="inlineStr">
        <is>
          <t>63.0%</t>
        </is>
      </c>
      <c r="C6" s="3" t="inlineStr">
        <is>
          <t>65.0%</t>
        </is>
      </c>
      <c r="D6" s="9" t="inlineStr">
        <is>
          <t>64.0% (中位數)</t>
        </is>
      </c>
    </row>
    <row r="7">
      <c r="A7" s="4" t="inlineStr">
        <is>
          <t>Q1 2026 營業利益率</t>
        </is>
      </c>
      <c r="B7" s="5" t="inlineStr">
        <is>
          <t>54.0%</t>
        </is>
      </c>
      <c r="C7" s="5" t="inlineStr">
        <is>
          <t>56.0%</t>
        </is>
      </c>
      <c r="D7" s="6" t="inlineStr">
        <is>
          <t>55.0% (中位數)</t>
        </is>
      </c>
    </row>
    <row r="8">
      <c r="A8" s="2" t="inlineStr">
        <is>
          <t>YoY 營收增長率</t>
        </is>
      </c>
      <c r="B8" s="3" t="inlineStr">
        <is>
          <t>~38%</t>
        </is>
      </c>
      <c r="C8" s="3" t="inlineStr">
        <is>
          <t>~38%</t>
        </is>
      </c>
      <c r="D8" s="9" t="inlineStr">
        <is>
          <t>~38%</t>
        </is>
      </c>
    </row>
    <row r="9">
      <c r="A9" s="45" t="inlineStr">
        <is>
          <t>Source: TSMC Q4 2025 Earnings Call, 2026-01-16 | https://pr.tsmc.com/english/news/3281</t>
        </is>
      </c>
    </row>
    <row r="11" ht="8" customHeight="1" s="36"/>
    <row r="12">
      <c r="A12" s="38" t="inlineStr">
        <is>
          <t>全年 2026 展望 (Full-Year 2026 Outlook)</t>
        </is>
      </c>
      <c r="B12" s="39" t="n"/>
      <c r="C12" s="39" t="n"/>
      <c r="D12" s="40" t="n"/>
    </row>
    <row r="13">
      <c r="A13" s="1" t="inlineStr">
        <is>
          <t>項目</t>
        </is>
      </c>
      <c r="B13" s="1" t="inlineStr">
        <is>
          <t>數值 / 範圍</t>
        </is>
      </c>
      <c r="C13" s="1" t="inlineStr">
        <is>
          <t>比較基準</t>
        </is>
      </c>
      <c r="D13" s="1" t="inlineStr">
        <is>
          <t>備註</t>
        </is>
      </c>
    </row>
    <row r="14">
      <c r="A14" s="2" t="inlineStr">
        <is>
          <t>全年營收增長率 (USD)</t>
        </is>
      </c>
      <c r="B14" s="9" t="inlineStr">
        <is>
          <t>~30% YoY</t>
        </is>
      </c>
      <c r="C14" s="3" t="inlineStr">
        <is>
          <t>FY 2025: $122B</t>
        </is>
      </c>
      <c r="D14" s="11" t="inlineStr">
        <is>
          <t>Source: TSMC FY2025 Results</t>
        </is>
      </c>
    </row>
    <row r="15">
      <c r="A15" s="4" t="inlineStr">
        <is>
          <t>資本支出 (CapEx)</t>
        </is>
      </c>
      <c r="B15" s="6" t="inlineStr">
        <is>
          <t>USD 52–56 B</t>
        </is>
      </c>
      <c r="C15" s="5" t="inlineStr">
        <is>
          <t>FY 2025: ~$38B</t>
        </is>
      </c>
      <c r="D15" s="8" t="inlineStr">
        <is>
          <t>Source: TSMC FY2025 Results</t>
        </is>
      </c>
    </row>
    <row r="16">
      <c r="A16" s="2" t="inlineStr">
        <is>
          <t>先進製程CapEx佔比</t>
        </is>
      </c>
      <c r="B16" s="9" t="inlineStr">
        <is>
          <t>70–80%</t>
        </is>
      </c>
      <c r="C16" s="3" t="inlineStr">
        <is>
          <t>—</t>
        </is>
      </c>
      <c r="D16" s="11" t="inlineStr">
        <is>
          <t>Source: TSMC FY2025 Results</t>
        </is>
      </c>
    </row>
    <row r="17">
      <c r="A17" s="4" t="inlineStr">
        <is>
          <t>預估下期 EPS (NT$)</t>
        </is>
      </c>
      <c r="B17" s="6" t="inlineStr">
        <is>
          <t>20.38</t>
        </is>
      </c>
      <c r="C17" s="5" t="inlineStr">
        <is>
          <t>Q4 2025: 19.50</t>
        </is>
      </c>
      <c r="D17" s="8" t="inlineStr">
        <is>
          <t>Source: MarketScreener Consensus</t>
        </is>
      </c>
    </row>
    <row r="18">
      <c r="A18" s="2" t="inlineStr">
        <is>
          <t>全年現金股利 (NT$/股)</t>
        </is>
      </c>
      <c r="B18" s="9" t="inlineStr">
        <is>
          <t>≥23</t>
        </is>
      </c>
      <c r="C18" s="3" t="inlineStr">
        <is>
          <t>FY 2025: 18</t>
        </is>
      </c>
      <c r="D18" s="11" t="inlineStr">
        <is>
          <t>Source: TSMC FY2025 Results</t>
        </is>
      </c>
    </row>
    <row r="19">
      <c r="A19" s="4" t="inlineStr">
        <is>
          <t>N2P / A16 量產</t>
        </is>
      </c>
      <c r="B19" s="6" t="inlineStr">
        <is>
          <t>2026 H2</t>
        </is>
      </c>
      <c r="C19" s="5" t="inlineStr">
        <is>
          <t>N2 已量產</t>
        </is>
      </c>
      <c r="D19" s="8" t="inlineStr">
        <is>
          <t>Source: TSMC Technology Roadmap</t>
        </is>
      </c>
    </row>
    <row r="20">
      <c r="A20" s="2" t="inlineStr">
        <is>
          <t>海外廠擴張</t>
        </is>
      </c>
      <c r="B20" s="9" t="inlineStr">
        <is>
          <t>Arizona / Japan</t>
        </is>
      </c>
      <c r="C20" s="3" t="inlineStr">
        <is>
          <t>持續投資</t>
        </is>
      </c>
      <c r="D20" s="11" t="inlineStr">
        <is>
          <t>美日廠擴產，壓縮部分毛利率</t>
        </is>
      </c>
    </row>
  </sheetData>
  <mergeCells count="4">
    <mergeCell ref="A1:D1"/>
    <mergeCell ref="A12:D12"/>
    <mergeCell ref="A9:D9"/>
    <mergeCell ref="A3:D3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E18"/>
  <sheetViews>
    <sheetView workbookViewId="0">
      <pane ySplit="4" topLeftCell="A5" activePane="bottomLeft" state="frozen"/>
      <selection pane="bottomLeft" activeCell="A1" sqref="A1:E1"/>
    </sheetView>
  </sheetViews>
  <sheetFormatPr baseColWidth="8" defaultRowHeight="15"/>
  <cols>
    <col width="10" customWidth="1" style="36" min="1" max="1"/>
    <col width="22" customWidth="1" style="36" min="2" max="5"/>
  </cols>
  <sheetData>
    <row r="1" ht="30" customHeight="1" s="36">
      <c r="A1" s="44" t="inlineStr">
        <is>
          <t>TSMC 股息記錄 | Dividend History</t>
        </is>
      </c>
    </row>
    <row r="3">
      <c r="A3" s="38" t="inlineStr">
        <is>
          <t>年度現金股利 (Annual Cash Dividend)</t>
        </is>
      </c>
      <c r="B3" s="39" t="n"/>
      <c r="C3" s="39" t="n"/>
      <c r="D3" s="39" t="n"/>
      <c r="E3" s="40" t="n"/>
    </row>
    <row r="4">
      <c r="A4" s="1" t="inlineStr">
        <is>
          <t>年份</t>
        </is>
      </c>
      <c r="B4" s="1" t="inlineStr">
        <is>
          <t>現金股利 (NT$/股)</t>
        </is>
      </c>
      <c r="C4" s="1" t="inlineStr">
        <is>
          <t>YoY增長率</t>
        </is>
      </c>
      <c r="D4" s="1" t="inlineStr">
        <is>
          <t>發放日期</t>
        </is>
      </c>
      <c r="E4" s="1" t="inlineStr">
        <is>
          <t>備註</t>
        </is>
      </c>
    </row>
    <row r="5">
      <c r="A5" s="20" t="inlineStr">
        <is>
          <t>2022</t>
        </is>
      </c>
      <c r="B5" s="15" t="inlineStr">
        <is>
          <t>NT$10.00</t>
        </is>
      </c>
      <c r="C5" s="7" t="inlineStr">
        <is>
          <t>—</t>
        </is>
      </c>
      <c r="D5" s="5" t="inlineStr">
        <is>
          <t>2022</t>
        </is>
      </c>
      <c r="E5" s="8" t="inlineStr">
        <is>
          <t>Source: TSMC IR</t>
        </is>
      </c>
    </row>
    <row r="6">
      <c r="A6" s="21" t="inlineStr">
        <is>
          <t>2023</t>
        </is>
      </c>
      <c r="B6" s="14" t="inlineStr">
        <is>
          <t>NT$11.00</t>
        </is>
      </c>
      <c r="C6" s="10" t="inlineStr">
        <is>
          <t>+10.0%</t>
        </is>
      </c>
      <c r="D6" s="3" t="inlineStr">
        <is>
          <t>2023</t>
        </is>
      </c>
      <c r="E6" s="11" t="inlineStr">
        <is>
          <t>Source: TSMC IR</t>
        </is>
      </c>
    </row>
    <row r="7">
      <c r="A7" s="20" t="inlineStr">
        <is>
          <t>2024</t>
        </is>
      </c>
      <c r="B7" s="15" t="inlineStr">
        <is>
          <t>NT$14.00</t>
        </is>
      </c>
      <c r="C7" s="7" t="inlineStr">
        <is>
          <t>+27.3%</t>
        </is>
      </c>
      <c r="D7" s="5" t="inlineStr">
        <is>
          <t>2024</t>
        </is>
      </c>
      <c r="E7" s="8" t="inlineStr">
        <is>
          <t>Source: TSMC IR</t>
        </is>
      </c>
    </row>
    <row r="8">
      <c r="A8" s="21" t="inlineStr">
        <is>
          <t>2025</t>
        </is>
      </c>
      <c r="B8" s="14" t="inlineStr">
        <is>
          <t>NT$18.00</t>
        </is>
      </c>
      <c r="C8" s="10" t="inlineStr">
        <is>
          <t>+28.6%</t>
        </is>
      </c>
      <c r="D8" s="3" t="inlineStr">
        <is>
          <t>2025</t>
        </is>
      </c>
      <c r="E8" s="11" t="inlineStr">
        <is>
          <t>Source: TSMC FY2025 Results</t>
        </is>
      </c>
    </row>
    <row r="9">
      <c r="A9" s="22" t="inlineStr">
        <is>
          <t>2026</t>
        </is>
      </c>
      <c r="B9" s="23" t="inlineStr">
        <is>
          <t>NT$23.00+</t>
        </is>
      </c>
      <c r="C9" s="24" t="inlineStr">
        <is>
          <t>+27.8%+</t>
        </is>
      </c>
      <c r="D9" s="25" t="inlineStr">
        <is>
          <t>2026 (預估)</t>
        </is>
      </c>
      <c r="E9" s="26" t="inlineStr">
        <is>
          <t>Source: TSMC FY2025 Guidance; 最低金額</t>
        </is>
      </c>
    </row>
    <row r="11" ht="8" customHeight="1" s="36"/>
    <row r="12">
      <c r="A12" s="38" t="inlineStr">
        <is>
          <t>近期股息記錄 (Recent Quarterly Dividends)</t>
        </is>
      </c>
      <c r="B12" s="39" t="n"/>
      <c r="C12" s="39" t="n"/>
      <c r="D12" s="39" t="n"/>
      <c r="E12" s="40" t="n"/>
    </row>
    <row r="13">
      <c r="A13" s="1" t="inlineStr">
        <is>
          <t>季度</t>
        </is>
      </c>
      <c r="B13" s="1" t="inlineStr">
        <is>
          <t>每季現金股利 (NT$/股)</t>
        </is>
      </c>
      <c r="C13" s="1" t="inlineStr">
        <is>
          <t>除息日</t>
        </is>
      </c>
      <c r="D13" s="1" t="inlineStr">
        <is>
          <t>支付日</t>
        </is>
      </c>
      <c r="E13" s="1" t="inlineStr">
        <is>
          <t>備註</t>
        </is>
      </c>
    </row>
    <row r="14">
      <c r="A14" s="22" t="inlineStr">
        <is>
          <t>Q1 2026</t>
        </is>
      </c>
      <c r="B14" s="23" t="inlineStr">
        <is>
          <t>NT$6.00</t>
        </is>
      </c>
      <c r="C14" s="25" t="inlineStr">
        <is>
          <t>2026-03-17</t>
        </is>
      </c>
      <c r="D14" s="25" t="inlineStr">
        <is>
          <t>2026-04</t>
        </is>
      </c>
      <c r="E14" s="26" t="inlineStr">
        <is>
          <t>Source: TSMC IR</t>
        </is>
      </c>
    </row>
    <row r="15">
      <c r="A15" s="20" t="inlineStr">
        <is>
          <t>Q4 2025</t>
        </is>
      </c>
      <c r="B15" s="6" t="inlineStr">
        <is>
          <t>NT$4.50</t>
        </is>
      </c>
      <c r="C15" s="5" t="inlineStr">
        <is>
          <t>—</t>
        </is>
      </c>
      <c r="D15" s="5" t="inlineStr">
        <is>
          <t>2026-01</t>
        </is>
      </c>
      <c r="E15" s="8" t="inlineStr">
        <is>
          <t>Source: TSMC IR</t>
        </is>
      </c>
    </row>
    <row r="16">
      <c r="A16" s="21" t="inlineStr">
        <is>
          <t>Q3 2025</t>
        </is>
      </c>
      <c r="B16" s="9" t="inlineStr">
        <is>
          <t>NT$4.50</t>
        </is>
      </c>
      <c r="C16" s="3" t="inlineStr">
        <is>
          <t>—</t>
        </is>
      </c>
      <c r="D16" s="3" t="inlineStr">
        <is>
          <t>2025-10</t>
        </is>
      </c>
      <c r="E16" s="11" t="inlineStr">
        <is>
          <t>Source: TSMC IR</t>
        </is>
      </c>
    </row>
    <row r="17">
      <c r="A17" s="20" t="inlineStr">
        <is>
          <t>Q2 2025</t>
        </is>
      </c>
      <c r="B17" s="6" t="inlineStr">
        <is>
          <t>NT$4.50</t>
        </is>
      </c>
      <c r="C17" s="5" t="inlineStr">
        <is>
          <t>—</t>
        </is>
      </c>
      <c r="D17" s="5" t="inlineStr">
        <is>
          <t>2025-07</t>
        </is>
      </c>
      <c r="E17" s="8" t="inlineStr">
        <is>
          <t>Source: TSMC IR</t>
        </is>
      </c>
    </row>
    <row r="18">
      <c r="A18" s="21" t="inlineStr">
        <is>
          <t>Q1 2025</t>
        </is>
      </c>
      <c r="B18" s="9" t="inlineStr">
        <is>
          <t>NT$4.50</t>
        </is>
      </c>
      <c r="C18" s="3" t="inlineStr">
        <is>
          <t>—</t>
        </is>
      </c>
      <c r="D18" s="3" t="inlineStr">
        <is>
          <t>2025-04</t>
        </is>
      </c>
      <c r="E18" s="11" t="inlineStr">
        <is>
          <t>Source: TSMC IR</t>
        </is>
      </c>
    </row>
  </sheetData>
  <mergeCells count="3">
    <mergeCell ref="A1:E1"/>
    <mergeCell ref="A12:E12"/>
    <mergeCell ref="A3:E3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20"/>
  <sheetViews>
    <sheetView workbookViewId="0">
      <pane ySplit="4" topLeftCell="A5" activePane="bottomLeft" state="frozen"/>
      <selection pane="bottomLeft" activeCell="A1" sqref="A1:E1"/>
    </sheetView>
  </sheetViews>
  <sheetFormatPr baseColWidth="8" defaultRowHeight="15"/>
  <cols>
    <col width="22" customWidth="1" style="36" min="1" max="1"/>
    <col width="42" customWidth="1" style="36" min="2" max="2"/>
    <col width="14" customWidth="1" style="36" min="3" max="4"/>
    <col width="18" customWidth="1" style="36" min="5" max="5"/>
  </cols>
  <sheetData>
    <row r="1" ht="30" customHeight="1" s="36">
      <c r="A1" s="44" t="inlineStr">
        <is>
          <t>TSMC 投資風險評估 | Risk Assessment Matrix</t>
        </is>
      </c>
    </row>
    <row r="3">
      <c r="A3" s="38" t="inlineStr">
        <is>
          <t>主要風險矩陣 (Key Risk Matrix)</t>
        </is>
      </c>
      <c r="B3" s="39" t="n"/>
      <c r="C3" s="39" t="n"/>
      <c r="D3" s="39" t="n"/>
      <c r="E3" s="40" t="n"/>
    </row>
    <row r="4">
      <c r="A4" s="1" t="inlineStr">
        <is>
          <t>風險類別</t>
        </is>
      </c>
      <c r="B4" s="1" t="inlineStr">
        <is>
          <t>風險描述</t>
        </is>
      </c>
      <c r="C4" s="1" t="inlineStr">
        <is>
          <t>影響程度</t>
        </is>
      </c>
      <c r="D4" s="1" t="inlineStr">
        <is>
          <t>發生機率</t>
        </is>
      </c>
      <c r="E4" s="1" t="inlineStr">
        <is>
          <t>風險評級</t>
        </is>
      </c>
    </row>
    <row r="5">
      <c r="A5" s="4" t="inlineStr">
        <is>
          <t>地緣政治風險</t>
        </is>
      </c>
      <c r="B5" s="8" t="inlineStr">
        <is>
          <t>台海緊張局勢、兩岸關係不確定性對生產造成衝擊</t>
        </is>
      </c>
      <c r="C5" s="5" t="inlineStr">
        <is>
          <t>高</t>
        </is>
      </c>
      <c r="D5" s="5" t="inlineStr">
        <is>
          <t>中</t>
        </is>
      </c>
      <c r="E5" s="27" t="inlineStr">
        <is>
          <t>🔴 高</t>
        </is>
      </c>
    </row>
    <row r="6">
      <c r="A6" s="2" t="inlineStr">
        <is>
          <t>出口管制風險</t>
        </is>
      </c>
      <c r="B6" s="11" t="inlineStr">
        <is>
          <t>AI晶片對中國出口限制（NVIDIA案例），影響客戶需求</t>
        </is>
      </c>
      <c r="C6" s="3" t="inlineStr">
        <is>
          <t>高</t>
        </is>
      </c>
      <c r="D6" s="3" t="inlineStr">
        <is>
          <t>高</t>
        </is>
      </c>
      <c r="E6" s="27" t="inlineStr">
        <is>
          <t>🔴 高</t>
        </is>
      </c>
    </row>
    <row r="7">
      <c r="A7" s="4" t="inlineStr">
        <is>
          <t>匯率風險</t>
        </is>
      </c>
      <c r="B7" s="8" t="inlineStr">
        <is>
          <t>新台幣升值壓縮以美元計價之海外獲利</t>
        </is>
      </c>
      <c r="C7" s="5" t="inlineStr">
        <is>
          <t>中</t>
        </is>
      </c>
      <c r="D7" s="5" t="inlineStr">
        <is>
          <t>中</t>
        </is>
      </c>
      <c r="E7" s="28" t="inlineStr">
        <is>
          <t>🟡 中</t>
        </is>
      </c>
    </row>
    <row r="8">
      <c r="A8" s="2" t="inlineStr">
        <is>
          <t>供應鏈風險</t>
        </is>
      </c>
      <c r="B8" s="11" t="inlineStr">
        <is>
          <t>關鍵設備（ASML EUV）與材料依賴程度高</t>
        </is>
      </c>
      <c r="C8" s="3" t="inlineStr">
        <is>
          <t>中</t>
        </is>
      </c>
      <c r="D8" s="3" t="inlineStr">
        <is>
          <t>低</t>
        </is>
      </c>
      <c r="E8" s="28" t="inlineStr">
        <is>
          <t>🟡 中</t>
        </is>
      </c>
    </row>
    <row r="9">
      <c r="A9" s="4" t="inlineStr">
        <is>
          <t>競爭風險</t>
        </is>
      </c>
      <c r="B9" s="8" t="inlineStr">
        <is>
          <t>三星、Intel在先進製程的追趕，爭奪高端客戶</t>
        </is>
      </c>
      <c r="C9" s="5" t="inlineStr">
        <is>
          <t>中</t>
        </is>
      </c>
      <c r="D9" s="5" t="inlineStr">
        <is>
          <t>低</t>
        </is>
      </c>
      <c r="E9" s="28" t="inlineStr">
        <is>
          <t>🟡 中</t>
        </is>
      </c>
    </row>
    <row r="10">
      <c r="A10" s="2" t="inlineStr">
        <is>
          <t>總體經濟風險</t>
        </is>
      </c>
      <c r="B10" s="11" t="inlineStr">
        <is>
          <t>關稅政策不確定性、消費性電子需求疲軟</t>
        </is>
      </c>
      <c r="C10" s="3" t="inlineStr">
        <is>
          <t>中</t>
        </is>
      </c>
      <c r="D10" s="3" t="inlineStr">
        <is>
          <t>中</t>
        </is>
      </c>
      <c r="E10" s="28" t="inlineStr">
        <is>
          <t>🟡 中</t>
        </is>
      </c>
    </row>
    <row r="11">
      <c r="A11" s="4" t="inlineStr">
        <is>
          <t>技術風險</t>
        </is>
      </c>
      <c r="B11" s="8" t="inlineStr">
        <is>
          <t>N2/A16量產良率爬升挑戰，海外廠製程複製困難</t>
        </is>
      </c>
      <c r="C11" s="5" t="inlineStr">
        <is>
          <t>中</t>
        </is>
      </c>
      <c r="D11" s="5" t="inlineStr">
        <is>
          <t>低</t>
        </is>
      </c>
      <c r="E11" s="28" t="inlineStr">
        <is>
          <t>🟡 中</t>
        </is>
      </c>
    </row>
    <row r="12">
      <c r="A12" s="2" t="inlineStr">
        <is>
          <t>監管風險</t>
        </is>
      </c>
      <c r="B12" s="11" t="inlineStr">
        <is>
          <t>美國補貼附帶條件、半導體法案限制</t>
        </is>
      </c>
      <c r="C12" s="3" t="inlineStr">
        <is>
          <t>低</t>
        </is>
      </c>
      <c r="D12" s="3" t="inlineStr">
        <is>
          <t>低</t>
        </is>
      </c>
      <c r="E12" s="29" t="inlineStr">
        <is>
          <t>🟢 低</t>
        </is>
      </c>
    </row>
    <row r="14" ht="8" customHeight="1" s="36"/>
    <row r="15">
      <c r="A15" s="38" t="inlineStr">
        <is>
          <t>技術與市場優勢 (Competitive Moat)</t>
        </is>
      </c>
      <c r="B15" s="39" t="n"/>
      <c r="C15" s="39" t="n"/>
      <c r="D15" s="39" t="n"/>
      <c r="E15" s="40" t="n"/>
    </row>
    <row r="16" ht="20" customHeight="1" s="36">
      <c r="A16" s="46" t="inlineStr">
        <is>
          <t>1. 技術領先：全球唯一量產3nm的foundry，N2於Q4 2025進入HVM，持續領先競爭對手2-3代</t>
        </is>
      </c>
      <c r="B16" s="39" t="n"/>
      <c r="C16" s="39" t="n"/>
      <c r="D16" s="39" t="n"/>
      <c r="E16" s="40" t="n"/>
    </row>
    <row r="17" ht="20" customHeight="1" s="36">
      <c r="A17" s="47" t="inlineStr">
        <is>
          <t>2. 規模優勢：全球晶圓代工市占率約60%，客戶黏著度高（Apple、NVIDIA、AMD、Qualcomm）</t>
        </is>
      </c>
      <c r="B17" s="39" t="n"/>
      <c r="C17" s="39" t="n"/>
      <c r="D17" s="39" t="n"/>
      <c r="E17" s="40" t="n"/>
    </row>
    <row r="18" ht="20" customHeight="1" s="36">
      <c r="A18" s="46" t="inlineStr">
        <is>
          <t>3. AI需求催動：AI伺服器、HPC晶片需求爆發，2025年AI加速器佔比達high-teens%</t>
        </is>
      </c>
      <c r="B18" s="39" t="n"/>
      <c r="C18" s="39" t="n"/>
      <c r="D18" s="39" t="n"/>
      <c r="E18" s="40" t="n"/>
    </row>
    <row r="19" ht="20" customHeight="1" s="36">
      <c r="A19" s="47" t="inlineStr">
        <is>
          <t>4. 地理分散：Arizona、Japan廠持續擴產，降低地緣政治集中風險</t>
        </is>
      </c>
      <c r="B19" s="39" t="n"/>
      <c r="C19" s="39" t="n"/>
      <c r="D19" s="39" t="n"/>
      <c r="E19" s="40" t="n"/>
    </row>
    <row r="20" ht="20" customHeight="1" s="36">
      <c r="A20" s="46" t="inlineStr">
        <is>
          <t>5. 強健財務：ROE 35.4%、自由現金流NT$1兆，資本實力雄厚</t>
        </is>
      </c>
      <c r="B20" s="39" t="n"/>
      <c r="C20" s="39" t="n"/>
      <c r="D20" s="39" t="n"/>
      <c r="E20" s="40" t="n"/>
    </row>
  </sheetData>
  <mergeCells count="8">
    <mergeCell ref="A20:E20"/>
    <mergeCell ref="A16:E16"/>
    <mergeCell ref="A15:E15"/>
    <mergeCell ref="A19:E19"/>
    <mergeCell ref="A1:E1"/>
    <mergeCell ref="A17:E17"/>
    <mergeCell ref="A18:E18"/>
    <mergeCell ref="A3:E3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G17"/>
  <sheetViews>
    <sheetView tabSelected="1" workbookViewId="0">
      <pane ySplit="3" topLeftCell="A4" activePane="bottomLeft" state="frozen"/>
      <selection pane="bottomLeft" activeCell="A1" sqref="A1:G1"/>
    </sheetView>
  </sheetViews>
  <sheetFormatPr baseColWidth="8" defaultRowHeight="15"/>
  <cols>
    <col width="14" customWidth="1" style="36" min="1" max="1"/>
    <col width="18" customWidth="1" style="36" min="2" max="2"/>
    <col width="12" customWidth="1" style="36" min="3" max="3"/>
    <col width="18" customWidth="1" style="36" min="4" max="4"/>
    <col width="16" customWidth="1" style="36" min="5" max="5"/>
    <col width="40" customWidth="1" style="36" min="6" max="6"/>
    <col width="22" customWidth="1" style="36" min="7" max="7"/>
  </cols>
  <sheetData>
    <row r="1" ht="30" customHeight="1" s="36">
      <c r="A1" s="44" t="inlineStr">
        <is>
          <t>TSMC 每日股價更新記錄 | Daily Price Update Log</t>
        </is>
      </c>
    </row>
    <row r="2" ht="22.05" customHeight="1" s="36">
      <c r="A2" s="48" t="inlineStr">
        <is>
          <t>最後更新：2026-03-23</t>
        </is>
      </c>
    </row>
    <row r="3">
      <c r="A3" s="1" t="inlineStr">
        <is>
          <t>更新日期</t>
        </is>
      </c>
      <c r="B3" s="1" t="inlineStr">
        <is>
          <t>台股收盤價 (TWD)</t>
        </is>
      </c>
      <c r="C3" s="1" t="inlineStr">
        <is>
          <t>漲跌幅 (%)</t>
        </is>
      </c>
      <c r="D3" s="1" t="inlineStr">
        <is>
          <t>NYSE收盤價 (USD)</t>
        </is>
      </c>
      <c r="E3" s="1" t="inlineStr">
        <is>
          <t>成交量 (張)</t>
        </is>
      </c>
      <c r="F3" s="1" t="inlineStr">
        <is>
          <t>當日重要消息</t>
        </is>
      </c>
      <c r="G3" s="1" t="inlineStr">
        <is>
          <t>資料來源</t>
        </is>
      </c>
    </row>
    <row r="4">
      <c r="A4" s="3" t="inlineStr">
        <is>
          <t>2026-03-09</t>
        </is>
      </c>
      <c r="B4" s="3" t="inlineStr">
        <is>
          <t>NT$1,900</t>
        </is>
      </c>
      <c r="C4" s="3" t="inlineStr">
        <is>
          <t>+1.86%</t>
        </is>
      </c>
      <c r="D4" s="3" t="inlineStr">
        <is>
          <t>US$338.89</t>
        </is>
      </c>
      <c r="E4" s="3" t="inlineStr">
        <is>
          <t>—</t>
        </is>
      </c>
      <c r="F4" s="11" t="inlineStr">
        <is>
          <t>初始建立報告，資料來源多方</t>
        </is>
      </c>
      <c r="G4" s="3" t="inlineStr">
        <is>
          <t>Yahoo Finance / CNBC / MarketScreener</t>
        </is>
      </c>
    </row>
    <row r="6" ht="8" customHeight="1" s="36"/>
    <row r="7" ht="25.05" customHeight="1" s="36">
      <c r="A7" s="49" t="inlineStr">
        <is>
          <t>💡 每日更新說明：在第4列以下依序新增記錄，或使用排程技能自動更新。欄位C漲跌幅為正數請填綠色、負數填紅色。</t>
        </is>
      </c>
    </row>
    <row r="8">
      <c r="A8" s="3" t="inlineStr">
        <is>
          <t>2026-03-10</t>
        </is>
      </c>
      <c r="B8" s="3" t="inlineStr">
        <is>
          <t>NT$1,890</t>
        </is>
      </c>
      <c r="C8" s="30" t="inlineStr">
        <is>
          <t>0.00%</t>
        </is>
      </c>
      <c r="D8" s="3" t="inlineStr">
        <is>
          <t>US$348.70</t>
        </is>
      </c>
      <c r="E8" s="3" t="inlineStr">
        <is>
          <t>28,542 張</t>
        </is>
      </c>
      <c r="F8" s="11" t="inlineStr">
        <is>
          <t>2月月營收今日公告（待更新）；前SVP涉嫌洩露2nm技術給Intel受調查；NVIDIA GTC 3/16揭露Feynman/A16；Arizona 3nm提前至2027</t>
        </is>
      </c>
      <c r="G8" s="3" t="inlineStr">
        <is>
          <t>Yahoo Finance / TSMC IR</t>
        </is>
      </c>
    </row>
    <row r="9">
      <c r="A9" s="5" t="inlineStr">
        <is>
          <t>2026-03-11</t>
        </is>
      </c>
      <c r="B9" s="5" t="inlineStr">
        <is>
          <t>NT$1,915</t>
        </is>
      </c>
      <c r="C9" s="31" t="inlineStr">
        <is>
          <t>+1.86%</t>
        </is>
      </c>
      <c r="D9" s="5" t="inlineStr">
        <is>
          <t>US$349.49</t>
        </is>
      </c>
      <c r="E9" s="5" t="inlineStr">
        <is>
          <t>39,307 張</t>
        </is>
      </c>
      <c r="F9" s="8" t="inlineStr">
        <is>
          <t>2月月營收年增22.2%，台股受惠反彈+1.86%；NYSE受美伊戰爭風險下跌-2.22%至US$349.49</t>
        </is>
      </c>
      <c r="G9" s="5" t="inlineStr">
        <is>
          <t>Yahoo Finance / Bloomberg</t>
        </is>
      </c>
    </row>
    <row r="10">
      <c r="A10" s="3" t="inlineStr">
        <is>
          <t>2026-03-12</t>
        </is>
      </c>
      <c r="B10" s="3" t="inlineStr">
        <is>
          <t>NT$1,895</t>
        </is>
      </c>
      <c r="C10" s="32" t="inlineStr">
        <is>
          <t>+2.37%</t>
        </is>
      </c>
      <c r="D10" s="3" t="inlineStr">
        <is>
          <t>US$349.49</t>
        </is>
      </c>
      <c r="E10" s="3" t="inlineStr">
        <is>
          <t>39,307 張</t>
        </is>
      </c>
      <c r="F10" s="11" t="inlineStr">
        <is>
          <t>NVIDIA超越Apple成TSMC最大客戶(22%)；N2良率70-80%；NYSE受美伊風險跌2.22%；台股逆勢+2.37%</t>
        </is>
      </c>
      <c r="G10" s="3" t="inlineStr">
        <is>
          <t>Bloomberg/CNBC/Yahoo Finance</t>
        </is>
      </c>
    </row>
    <row r="11">
      <c r="A11" s="5" t="inlineStr">
        <is>
          <t>2026-03-13</t>
        </is>
      </c>
      <c r="B11" s="5" t="inlineStr">
        <is>
          <t>NT$1,885</t>
        </is>
      </c>
      <c r="C11" s="33" t="inlineStr">
        <is>
          <t>-2.84%</t>
        </is>
      </c>
      <c r="D11" s="5" t="inlineStr">
        <is>
          <t>US$336.71</t>
        </is>
      </c>
      <c r="E11" s="5" t="inlineStr">
        <is>
          <t>33,942 張</t>
        </is>
      </c>
      <c r="F11" s="8" t="inlineStr">
        <is>
          <t>NYSE TSM 重挫-5.03%，卡達暫停LNG出口能源風險升溫；GTC 2026（3/17）NVIDIA Feynman晶片即將揭曉</t>
        </is>
      </c>
      <c r="G11" s="5" t="inlineStr">
        <is>
          <t>Yahoo Finance / Bloomberg</t>
        </is>
      </c>
    </row>
    <row r="12">
      <c r="A12" s="3" t="inlineStr">
        <is>
          <t>2026-03-18</t>
        </is>
      </c>
      <c r="B12" s="3" t="inlineStr">
        <is>
          <t>NT$1,870</t>
        </is>
      </c>
      <c r="C12" s="34" t="inlineStr">
        <is>
          <t>-5.03%</t>
        </is>
      </c>
      <c r="D12" s="3" t="inlineStr">
        <is>
          <t>US$336.71</t>
        </is>
      </c>
      <c r="E12" s="3" t="inlineStr">
        <is>
          <t>23,688 張</t>
        </is>
      </c>
      <c r="F12" s="11" t="inlineStr">
        <is>
          <t>NYSE TSM 3/18大跌-5.03%至$336.71，半導體板塊廣泛修正；NVIDIA Feynman確認採TSMC A16；記憶體短缺延伸至2027</t>
        </is>
      </c>
      <c r="G12" s="3" t="inlineStr">
        <is>
          <t>Yahoo Finance / Bloomberg</t>
        </is>
      </c>
    </row>
    <row r="13">
      <c r="A13" s="50" t="inlineStr">
        <is>
          <t>2026-03-19</t>
        </is>
      </c>
      <c r="B13" s="50" t="inlineStr">
        <is>
          <t>NT$1,905</t>
        </is>
      </c>
      <c r="C13" s="51" t="inlineStr">
        <is>
          <t>+1.87%</t>
        </is>
      </c>
      <c r="D13" s="50" t="inlineStr">
        <is>
          <t>US$336.71</t>
        </is>
      </c>
      <c r="E13" s="50" t="inlineStr">
        <is>
          <t>23,015 張</t>
        </is>
      </c>
      <c r="F13" s="52" t="inlineStr">
        <is>
          <t>台股2330 3/18逆勢收紅+1.87%至NT$1,905；NVIDIA超越Apple成TSMC最大客戶；2nm N2P試量產啟動；TSMC市佔72%</t>
        </is>
      </c>
      <c r="G13" s="50" t="inlineStr">
        <is>
          <t>Yahoo Finance / Bloomberg</t>
        </is>
      </c>
    </row>
    <row r="14">
      <c r="A14" s="53" t="inlineStr">
        <is>
          <t>2026-03-19</t>
        </is>
      </c>
      <c r="B14" s="53" t="inlineStr">
        <is>
          <t>NT$1,905</t>
        </is>
      </c>
      <c r="C14" s="54" t="inlineStr">
        <is>
          <t>+1.87%</t>
        </is>
      </c>
      <c r="D14" s="53" t="inlineStr">
        <is>
          <t>US$336.71</t>
        </is>
      </c>
      <c r="E14" s="53" t="inlineStr">
        <is>
          <t>23,015 張</t>
        </is>
      </c>
      <c r="F14" s="55" t="inlineStr">
        <is>
          <t>台股2330 3/18逆勢收紅+1.87%至NT$1,905；NVIDIA超越Apple成TSMC最大客戶；2nm N2P試量產啟動；TSMC市佔72%</t>
        </is>
      </c>
      <c r="G14" s="53" t="inlineStr">
        <is>
          <t>Yahoo Finance / Bloomberg</t>
        </is>
      </c>
    </row>
    <row r="15">
      <c r="A15" s="50" t="inlineStr">
        <is>
          <t>2026-03-19</t>
        </is>
      </c>
      <c r="B15" s="50" t="inlineStr">
        <is>
          <t>NT$1,905</t>
        </is>
      </c>
      <c r="C15" s="51" t="inlineStr">
        <is>
          <t>+1.87%</t>
        </is>
      </c>
      <c r="D15" s="50" t="inlineStr">
        <is>
          <t>US$336.71</t>
        </is>
      </c>
      <c r="E15" s="50" t="inlineStr">
        <is>
          <t>23,015 張</t>
        </is>
      </c>
      <c r="F15" s="52" t="inlineStr">
        <is>
          <t>台股2330 3/18逆勢收紅+1.87%至NT$1,905；NVIDIA超越Apple成TSMC最大客戶；2nm N2P試量產啟動；TSMC市佔72%</t>
        </is>
      </c>
      <c r="G15" s="50" t="inlineStr">
        <is>
          <t>Yahoo Finance / Bloomberg</t>
        </is>
      </c>
    </row>
    <row r="16">
      <c r="A16" s="53" t="inlineStr">
        <is>
          <t>2026-03-20</t>
        </is>
      </c>
      <c r="B16" s="53" t="inlineStr">
        <is>
          <t>NT$1,850</t>
        </is>
      </c>
      <c r="C16" s="56" t="inlineStr">
        <is>
          <t>-2.89%</t>
        </is>
      </c>
      <c r="D16" s="53" t="inlineStr">
        <is>
          <t>US$334.58</t>
        </is>
      </c>
      <c r="E16" s="53" t="inlineStr">
        <is>
          <t>30,200 張</t>
        </is>
      </c>
      <c r="F16" s="55" t="inlineStr">
        <is>
          <t>氦氣供應危機壓制+Samsung $734億AI投資；法人目標NT$2,290(+23.8%)</t>
        </is>
      </c>
      <c r="G16" s="53" t="inlineStr">
        <is>
          <t>Yahoo Finance / Reuters</t>
        </is>
      </c>
    </row>
    <row r="17">
      <c r="A17" s="50" t="inlineStr">
        <is>
          <t>2026-03-23</t>
        </is>
      </c>
      <c r="B17" s="50" t="inlineStr">
        <is>
          <t>NT$1,850</t>
        </is>
      </c>
      <c r="C17" s="57" t="inlineStr">
        <is>
          <t>-2.89%</t>
        </is>
      </c>
      <c r="D17" s="50" t="inlineStr">
        <is>
          <t>US$329.24</t>
        </is>
      </c>
      <c r="E17" s="50" t="inlineStr">
        <is>
          <t>30,200 張</t>
        </is>
      </c>
      <c r="F17" s="52" t="inlineStr">
        <is>
          <t>NVIDIA 超越 Apple 成 TSMC 最大客戶（22%/$330B）；Feynman 採 A16；亞利桑那 Phase 2 提前 2027；股東數 246 萬創高</t>
        </is>
      </c>
      <c r="G17" s="50" t="inlineStr">
        <is>
          <t>CNBC / TrendForce</t>
        </is>
      </c>
    </row>
  </sheetData>
  <mergeCells count="3">
    <mergeCell ref="A2:G2"/>
    <mergeCell ref="A1:G1"/>
    <mergeCell ref="A7:G7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2026-03-09T09:41:41Z</dcterms:created>
  <dcterms:modified xmlns:dcterms="http://purl.org/dc/terms/" xmlns:xsi="http://www.w3.org/2001/XMLSchema-instance" xsi:type="dcterms:W3CDTF">2026-03-23T01:23:16Z</dcterms:modified>
  <cp:lastModifiedBy>吳銘祥 Tom Wu</cp:lastModifiedBy>
</cp:coreProperties>
</file>
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7">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xf numFmtId="0" fontId="28" fillId="12"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報告更新日期：2026-10-20</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Q3 2026</t>
        </is>
      </c>
      <c r="C4" s="1" t="inlineStr">
        <is>
          <t>Q2 2026</t>
        </is>
      </c>
      <c r="D4" s="1" t="inlineStr">
        <is>
          <t>Q3 2025</t>
        </is>
      </c>
      <c r="E4" s="1" t="inlineStr">
        <is>
          <t>YoY變化</t>
        </is>
      </c>
      <c r="F4" s="1" t="inlineStr">
        <is>
          <t>備註</t>
        </is>
      </c>
    </row>
    <row r="5">
      <c r="A5" s="4" t="inlineStr">
        <is>
          <t>合併營收 (NT$ B)</t>
        </is>
      </c>
      <c r="B5" s="6" t="inlineStr">
        <is>
          <t>1,494.24</t>
        </is>
      </c>
      <c r="C5" s="5" t="inlineStr">
        <is>
          <t>1,270.38</t>
        </is>
      </c>
      <c r="D5" s="5" t="inlineStr">
        <is>
          <t>989.92</t>
        </is>
      </c>
      <c r="E5" s="7" t="inlineStr">
        <is>
          <t>+50.9% YoY (NT$)；+41.2% YoY (USD)</t>
        </is>
      </c>
      <c r="F5" s="8" t="inlineStr">
        <is>
          <t>Source: TSMC PR 2026-10-15 (pr.tsmc.com/english/news/3346) 與 SEC 6-K 一致；USD $46.72B、+17.6% QoQ，高於 Q3 指引上緣 $45.8B</t>
        </is>
      </c>
    </row>
    <row r="6">
      <c r="A6" s="2" t="inlineStr">
        <is>
          <t>淨利 (NT$ B)</t>
        </is>
      </c>
      <c r="B6" s="9" t="inlineStr">
        <is>
          <t>763.06</t>
        </is>
      </c>
      <c r="C6" s="3" t="inlineStr">
        <is>
          <t>706.56</t>
        </is>
      </c>
      <c r="D6" s="3" t="inlineStr">
        <is>
          <t>452.30</t>
        </is>
      </c>
      <c r="E6" s="10" t="inlineStr">
        <is>
          <t>+68.7% YoY</t>
        </is>
      </c>
      <c r="F6" s="11" t="inlineStr">
        <is>
          <t>Source: TSMC PR 2026-10-15 (pr.tsmc.com/english/news/3346) 與 SEC 6-K 一致；淨利率 51.1%（Q2 55.6%）、+8.0% QoQ；高於 LSEG SmartEstimate 共識 NT$7,463 億約 +2.25%</t>
        </is>
      </c>
    </row>
    <row r="7">
      <c r="A7" s="4" t="inlineStr">
        <is>
          <t>每股稀釋 EPS (NT$)</t>
        </is>
      </c>
      <c r="B7" s="6" t="inlineStr">
        <is>
          <t>29.43</t>
        </is>
      </c>
      <c r="C7" s="5" t="inlineStr">
        <is>
          <t>27.25</t>
        </is>
      </c>
      <c r="D7" s="5" t="inlineStr">
        <is>
          <t>17.44</t>
        </is>
      </c>
      <c r="E7" s="7" t="inlineStr">
        <is>
          <t>+68.7% YoY</t>
        </is>
      </c>
      <c r="F7" s="8" t="inlineStr">
        <is>
          <t>Source: TSMC PR 2026-10-15 (pr.tsmc.com/english/news/3346) 與 SEC 6-K 一致；US$4.60/ADR（Q2 US$4.31、Q3 2025 US$2.92）</t>
        </is>
      </c>
    </row>
    <row r="8">
      <c r="A8" s="2" t="inlineStr">
        <is>
          <t>毛利率</t>
        </is>
      </c>
      <c r="B8" s="9" t="inlineStr">
        <is>
          <t>66.4%</t>
        </is>
      </c>
      <c r="C8" s="3" t="inlineStr">
        <is>
          <t>67.7%</t>
        </is>
      </c>
      <c r="D8" s="3" t="inlineStr">
        <is>
          <t>59.5%</t>
        </is>
      </c>
      <c r="E8" s="10" t="inlineStr">
        <is>
          <t>+6.9pp YoY</t>
        </is>
      </c>
      <c r="F8" s="11" t="inlineStr">
        <is>
          <t>Source: TSMC PR 2026-10-15 (pr.tsmc.com/english/news/3346) 與 SEC 6-K 一致；落在 Q3 指引 65–67% 區間內、QoQ -1.3pp（2 奈米量產爬坡稀釋）；部分媒體所載 66.79% 與官方不符、不採</t>
        </is>
      </c>
    </row>
    <row r="9">
      <c r="A9" s="4" t="inlineStr">
        <is>
          <t>營業利益率</t>
        </is>
      </c>
      <c r="B9" s="6" t="inlineStr">
        <is>
          <t>58.7%</t>
        </is>
      </c>
      <c r="C9" s="5" t="inlineStr">
        <is>
          <t>60.3%</t>
        </is>
      </c>
      <c r="D9" s="5" t="inlineStr">
        <is>
          <t>50.6%</t>
        </is>
      </c>
      <c r="E9" s="7" t="inlineStr">
        <is>
          <t>+8.1pp YoY</t>
        </is>
      </c>
      <c r="F9" s="8" t="inlineStr">
        <is>
          <t>Source: TSMC PR 2026-10-15 (pr.tsmc.com/english/news/3346) 與 SEC 6-K 一致；高於 Q3 指引 56–58% 上緣；部分媒體所載 59.05% 與官方不符、不採</t>
        </is>
      </c>
    </row>
    <row r="10">
      <c r="A10" s="2" t="inlineStr">
        <is>
          <t>ROE（年化）</t>
        </is>
      </c>
      <c r="B10" s="9" t="inlineStr">
        <is>
          <t>45.5%【法說簡報】</t>
        </is>
      </c>
      <c r="C10" s="3" t="inlineStr">
        <is>
          <t>—</t>
        </is>
      </c>
      <c r="D10" s="3" t="inlineStr">
        <is>
          <t>—</t>
        </is>
      </c>
      <c r="E10" s="10" t="inlineStr">
        <is>
          <t>—</t>
        </is>
      </c>
      <c r="F10" s="11" t="inlineStr">
        <is>
          <t>Q4 2026 指引：營收 US$52.3–54.3B、毛利率 65–67%、營益率 56.5–58.5%、匯率假設 31.8；全年美元營收成長上修至約 44%（7 月為「略高於 40%」）、CapEx US$60–64B 維持；10/15 法說未宣告股利（季配息由董事會另行決議，上一循環為 11/11）</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Q4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Q4 2026 營收 (USD B)</t>
        </is>
      </c>
      <c r="B5" s="5" t="inlineStr">
        <is>
          <t>52.3</t>
        </is>
      </c>
      <c r="C5" s="5" t="inlineStr">
        <is>
          <t>54.3</t>
        </is>
      </c>
      <c r="D5" s="6" t="inlineStr">
        <is>
          <t>53.3 (中位數)</t>
        </is>
      </c>
    </row>
    <row r="6">
      <c r="A6" s="2" t="inlineStr">
        <is>
          <t>Q4 2026 毛利率</t>
        </is>
      </c>
      <c r="B6" s="3" t="inlineStr">
        <is>
          <t>65.0%</t>
        </is>
      </c>
      <c r="C6" s="3" t="inlineStr">
        <is>
          <t>67.0%</t>
        </is>
      </c>
      <c r="D6" s="9" t="inlineStr">
        <is>
          <t>66.0% (中位數)</t>
        </is>
      </c>
    </row>
    <row r="7">
      <c r="A7" s="4" t="inlineStr">
        <is>
          <t>Q4 2026 營業利益率</t>
        </is>
      </c>
      <c r="B7" s="5" t="inlineStr">
        <is>
          <t>56.5%</t>
        </is>
      </c>
      <c r="C7" s="5" t="inlineStr">
        <is>
          <t>58.5%</t>
        </is>
      </c>
      <c r="D7" s="6" t="inlineStr">
        <is>
          <t>57.5% (中位數)</t>
        </is>
      </c>
    </row>
    <row r="8">
      <c r="A8" s="2" t="inlineStr">
        <is>
          <t>匯率假設 (NT$/US$)</t>
        </is>
      </c>
      <c r="B8" s="3" t="inlineStr">
        <is>
          <t>31.8</t>
        </is>
      </c>
      <c r="C8" s="3" t="inlineStr">
        <is>
          <t>31.8</t>
        </is>
      </c>
      <c r="D8" s="9" t="inlineStr">
        <is>
          <t>31.8</t>
        </is>
      </c>
    </row>
    <row r="9">
      <c r="A9" s="45" t="inlineStr">
        <is>
          <t>Source: TSMC Q3 2026 Earnings Call, 2026-10-15 | https://pr.tsmc.com/english/news/3346 （B9 為合併儲存格，來源與連結合寫於 A9）</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~44% YoY（10/15 法說上修，7 月指引為「略高於 40%」）</t>
        </is>
      </c>
      <c r="C14" s="3" t="inlineStr">
        <is>
          <t>FY 2025: $122B</t>
        </is>
      </c>
      <c r="D14" s="11" t="inlineStr">
        <is>
          <t>Source: TSMC Q3 2026 Earnings Call 2026-10-15（法說口頭指引，新聞稿未載；多來源一致）</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最新實際 EPS (NT$)</t>
        </is>
      </c>
      <c r="B17" s="6" t="inlineStr">
        <is>
          <t>Q3 2026: 29.43</t>
        </is>
      </c>
      <c r="C17" s="5" t="inlineStr">
        <is>
          <t>Q2 2026: 27.25</t>
        </is>
      </c>
      <c r="D17" s="8" t="inlineStr">
        <is>
          <t>Source: TSMC PR 2026-10-15；US$4.60/ADR</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row r="23">
      <c r="A23" s="60" t="inlineStr">
        <is>
          <t>N2 / A14 進度（Q3 2026 法說）</t>
        </is>
      </c>
      <c r="B23" s="60" t="inlineStr">
        <is>
          <t>N2 占 Q3 晶圓營收 8%（N3 33%、N5 28%、N7 10%，≥7nm 先進製程合計 79%）；2027 年 N2 家族年產能倍增以上</t>
        </is>
      </c>
      <c r="C23" s="60" t="inlineStr">
        <is>
          <t>A14：2027 試產、2028 量產，預期規模大於 N2；CoWoS 5x 光罩量產中、9x／14x 開發中</t>
        </is>
      </c>
      <c r="D23" s="60" t="inlineStr">
        <is>
          <t>Source: TSMC Q3 2026 法說 2026-10-15（SEC 6-K 製程占比；A14／CoWoS 為法說逐字稿、單一來源）</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7"/>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最後更新：2026-10-20</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row r="139">
      <c r="A139" s="50" t="inlineStr">
        <is>
          <t>2026-10-07</t>
        </is>
      </c>
      <c r="B139" s="50" t="inlineStr">
        <is>
          <t>NT$2,585（10/6收，+10；開2,575高2,590低2,565，收盤與盤中高連2日創歷史新高）；10/5收NT$2,575（+75）</t>
        </is>
      </c>
      <c r="C139" s="51" t="inlineStr">
        <is>
          <t>+0.39%（10/6收，+10.00，領先大盤0.17pp；加權+0.22%連4日創收盤新高）；10/5為+3.00%（+75.00）</t>
        </is>
      </c>
      <c r="D139" s="50" t="inlineStr">
        <is>
          <t>US$482.30（10/6收，-0.72%，未創新高；ADR溢價+18.59%）；10/5收US$485.80（+2.75%）</t>
        </is>
      </c>
      <c r="E139" s="50" t="inlineStr">
        <is>
          <t>20,802（10/6收，-22.4%，低於前報門檻24,887張16.4%、低於5日均量23,669張12.1%；2026年183日中第23低）；10/5為26,800張</t>
        </is>
      </c>
      <c r="F139" s="52" t="inlineStr">
        <is>
          <t>報告日2026-10-07。10/6收2,585(+0.39%)連2日創歷史收盤新高，但量縮至20,802張、外資賣超1,672張，前報上調看多條件只過價格，維持中性偏多；退回中性防線皆守住，收盤續高於布林上軌，過熱未解。</t>
        </is>
      </c>
      <c r="G139" s="50" t="inlineStr">
        <is>
          <t>Yahoo Finance / Bloomberg</t>
        </is>
      </c>
    </row>
    <row r="140">
      <c r="A140" s="53" t="inlineStr">
        <is>
          <t>2026-10-08</t>
        </is>
      </c>
      <c r="B140" s="53" t="inlineStr">
        <is>
          <t>NT$2,585（10/7收，平盤0.00；開2,565高2,585低2,560，與10/6歷史最高收盤同價、未再創新高）；10/6收NT$2,585（+10）</t>
        </is>
      </c>
      <c r="C140" s="56" t="inlineStr">
        <is>
          <t>0.00%（10/7收，平盤，相對大盤+0.03pp；加權-0.03%、連4日創收盤新高中止）；10/6為+0.39%（+10.00）</t>
        </is>
      </c>
      <c r="D140" s="53" t="inlineStr">
        <is>
          <t>US$472.20（10/7收，-2.09%，跌幅為費半-1.15%的1.8倍；ADR溢價+16.18%、連2日收斂）；10/6收US$482.30（-0.72%）</t>
        </is>
      </c>
      <c r="E140" s="53" t="inlineStr">
        <is>
          <t>16,941（10/7收，-18.6%，低於前報基準23,669張28.4%、低於新5日均量20,200張16.1%；2026年184日中第11低）；10/6為20,802張</t>
        </is>
      </c>
      <c r="F140" s="55" t="inlineStr">
        <is>
          <t>報告日2026-10-08。10/7開低拉回收平盤2,585，平歷史最高收盤但未創新高，量再縮至16,941張、外資連2日小賣1,163張，上調看多三條件全部未過、退回防線守住，維持中性偏多但信心標低；ADR-2.09%、夜盤個股期2,570低於現貨，連假前偏弱。</t>
        </is>
      </c>
      <c r="G140" s="53" t="inlineStr">
        <is>
          <t>Yahoo Finance / Bloomberg</t>
        </is>
      </c>
    </row>
    <row r="141">
      <c r="A141" s="50" t="inlineStr">
        <is>
          <t>2026-10-12</t>
        </is>
      </c>
      <c r="B141" s="50" t="inlineStr">
        <is>
          <t>NT$2,550（10/8收，-35、-1.35%；開2,550高2,575低2,550，開低走低收在全日最低、倒T字線；10/9國慶補假休市）；10/7收NT$2,585（平盤）</t>
        </is>
      </c>
      <c r="C141" s="57" t="inlineStr">
        <is>
          <t>-1.35%（10/8收，相對大盤-0.36pp；加權-492.93點、-0.99%收49,313.44、連2日下跌）；10/7為0.00%</t>
        </is>
      </c>
      <c r="D141" s="50" t="inlineStr">
        <is>
          <t>US$453.31（10/9收，-1.02%；10/8收US$457.99、-3.01%，兩日累計-4.00%、連4日下跌；ADR溢價壓縮至+13.35%）；10/7收US$472.20（-2.09%）</t>
        </is>
      </c>
      <c r="E141" s="50" t="inlineStr">
        <is>
          <t>23,145（10/8收，+36.6%，高於5日均量20,696張11.8%、成交筆數141,976筆倍增；2026年185日中第153）；10/7為16,941張</t>
        </is>
      </c>
      <c r="F141" s="52" t="inlineStr">
        <is>
          <t>報告日2026-10-12（連假後首報，涵蓋台股10/8與美股10/8、10/9）。10/8開低走低收最低2,550（-1.35%），量增至23,145張、外資賣超12,302張（8/04以來最大）觸發退回條件、立場退回中性，KD死叉、J跌破100；盤後9月營收5,118.57億、Q3合計1.4942兆以32元換算超指引上緣；休市期間ADR兩日-4.00%、夜盤個股期2,535低於現貨15點，今日為營收利多與美股利空首度對決。</t>
        </is>
      </c>
      <c r="G141" s="50" t="inlineStr">
        <is>
          <t>Yahoo Finance / Bloomberg</t>
        </is>
      </c>
    </row>
    <row r="142">
      <c r="A142" s="53" t="inlineStr">
        <is>
          <t>2026-10-13</t>
        </is>
      </c>
      <c r="B142" s="53" t="inlineStr">
        <is>
          <t>NT$2,540（10/12收，-10、-0.39%；開2,510高2,550低2,510，開低40元回補10/5缺口後拉回、紅K但跌破2,545防線5元；10/9國慶補假休市後首日）；10/8收NT$2,550（-1.35%）</t>
        </is>
      </c>
      <c r="C142" s="56" t="inlineStr">
        <is>
          <t>-0.39%（10/12收，相對大盤-0.37pp；加權-11.48點、-0.02%收49,301.96、連3日下跌）；10/8為-1.35%</t>
        </is>
      </c>
      <c r="D142" s="53" t="inlineStr">
        <is>
          <t>US$444.35（10/12收，-1.98%；連5日下跌、五日-8.53%、9/18以來最低；ADR溢價壓縮至+11.61%）；10/9收US$453.31（-1.02%）</t>
        </is>
      </c>
      <c r="E142" s="53" t="inlineStr">
        <is>
          <t>23,556（10/12收，+1.8%，高於前報基準20,696張13.8%、高於新5日均量22,249張5.9%；成交筆數125,197筆；2026年186日中第153）；10/8為23,145張</t>
        </is>
      </c>
      <c r="F142" s="55" t="inlineStr">
        <is>
          <t>報告日2026-10-13（台美皆為10/12）。10/12開低回補10/5缺口後收2,540（-0.39%），跌破防線2,545達5元，立場依約自中性下修為中性偏空；外資連4日賣超合計24,559張；台股收盤後ADR再-1.98%連5跌收444.35、溢價+11.61%，夜盤個股期2,520低於現貨20點；10/15法說會距今2天。</t>
        </is>
      </c>
      <c r="G142" s="53" t="inlineStr">
        <is>
          <t>Yahoo Finance / Bloomberg</t>
        </is>
      </c>
    </row>
    <row r="143">
      <c r="A143" s="50" t="inlineStr">
        <is>
          <t>2026-10-14</t>
        </is>
      </c>
      <c r="B143" s="50" t="inlineStr">
        <is>
          <t>NT$2,490（10/13收，-50、-1.97%；開2,500高2,510低2,490，開低40元收在全日最低、小黑K，跌破10/12低點2,510與MA10）；10/12收NT$2,540（-0.39%）</t>
        </is>
      </c>
      <c r="C143" s="57" t="inlineStr">
        <is>
          <t>-1.97%（10/13收，相對大盤-0.02pp；加權-960.65點、-1.95%收48,341.31、連4日下跌）；10/12為-0.39%</t>
        </is>
      </c>
      <c r="D143" s="50" t="inlineStr">
        <is>
          <t>US$445.12（10/13收，+0.17%；結束連5日下跌、五日-7.71%；ADR溢價擴大至+14.73%）；10/12收US$444.35（-1.98%）</t>
        </is>
      </c>
      <c r="E143" s="50" t="inlineStr">
        <is>
          <t>40,796（10/13收，+73.2%，9/18以來最大；高於前報基準22,249張83.4%、高於新5日均量25,048張62.9%；成交筆數329,150筆；2026年187日中第66）；10/12為23,556張</t>
        </is>
      </c>
      <c r="F143" s="52" t="inlineStr">
        <is>
          <t>報告日2026-10-14（台美皆為10/13）。10/13放量收最低2,490（-1.97%），外資賣超25,641張（2026年第6大、連5賣）且跌破2,510，立場依約自中性偏空下修為看空；KD中期轉弱確認；台股收盤後ADR+0.17%止跌、溢價+14.73%，夜盤個股期2,520高於現貨30點；10/15法說會距今1天。</t>
        </is>
      </c>
      <c r="G143" s="50" t="inlineStr">
        <is>
          <t>Yahoo Finance / Bloomberg</t>
        </is>
      </c>
    </row>
    <row r="144">
      <c r="A144" s="53" t="inlineStr">
        <is>
          <t>2026-10-15</t>
        </is>
      </c>
      <c r="B144" s="53" t="inlineStr">
        <is>
          <t>NT$2,490（10/14收，平盤0.00、0.00%；開2,505高2,535低2,490，開高後收在全日最低、黑K，盤中2,535未守住）；10/13收NT$2,490（-1.97%）</t>
        </is>
      </c>
      <c r="C144" s="66" t="inlineStr">
        <is>
          <t>0.00%（10/14收，平盤，相對大盤-0.59pp；加權+284.52點、+0.59%收48,625.83、結束連4日下跌）；10/13為-1.97%</t>
        </is>
      </c>
      <c r="D144" s="53" t="inlineStr">
        <is>
          <t>US$430.00（10/14收，-3.40%；9/16以來最低收盤、五日-8.94%；ADR溢價壓縮至+10.76%）；10/13收US$445.12（+0.17%）</t>
        </is>
      </c>
      <c r="E144" s="53" t="inlineStr">
        <is>
          <t>28,112（10/14收，-31.1%；高於前報基準25,048張12.2%、高於新5日均量26,510張6.0%；成交筆數91,202筆；2026年188日中第133）；10/13為40,796張</t>
        </is>
      </c>
      <c r="F144" s="55" t="inlineStr">
        <is>
          <t>報告日2026-10-15（台美皆為10/14）。10/14開高後收全日最低2,490（平盤），外資賣超6,752張（連6賣），立場維持看空；MACD死叉；美股CPI偏熱、費半-4.30%，ADR-3.40%收430.00、溢價+10.76%，夜盤個股期2,474；Q3法說會今日14:00。</t>
        </is>
      </c>
      <c r="G144" s="53" t="inlineStr">
        <is>
          <t>Yahoo Finance / Bloomberg</t>
        </is>
      </c>
    </row>
    <row r="145">
      <c r="A145" s="50" t="inlineStr">
        <is>
          <t>2026-10-16</t>
        </is>
      </c>
      <c r="B145" s="50" t="inlineStr">
        <is>
          <t>NT$2,440（10/15收，-50、-2.01%；開2,420高2,450低2,420，跳空開低70元、開盤即最低、收盤較開盤+20紅K，留2,450–2,490缺口）；10/14收NT$2,490（平盤）</t>
        </is>
      </c>
      <c r="C145" s="57" t="inlineStr">
        <is>
          <t>-2.01%（10/15收，相對大盤+1.40pp；加權-1,655.96點、-3.41%收46,969.87，全市場成交1兆4,357.55億）；10/14為0.00%</t>
        </is>
      </c>
      <c r="D145" s="50" t="inlineStr">
        <is>
          <t>US$422.25（10/15收，-1.80%，法說會後首個美股盤、盤中-5.3%後收斂；連2跌、9/16以來最低、五日-7.80%；ADR溢價回升至+11.69%）；10/14收US$430.00（-3.40%）</t>
        </is>
      </c>
      <c r="E145" s="50" t="inlineStr">
        <is>
          <t>58,487（10/15收，+108.0%；高於前報基準26,510張120.6%、高於新5日均量34,819張68.0%；成交筆數512,176筆、2026年第7多；2026年189日中第15、7/31以來最大）；10/14為28,112張</t>
        </is>
      </c>
      <c r="F145" s="52" t="inlineStr">
        <is>
          <t>報告日2026-10-16（台美皆為10/15）。10/15跳空開低收2,440（-2.01%），放量58,487張、外資賣超34,111張（2026年第4大、連7賣），跌破MA20中軌、MA5破MA10、MACD柱-17.43，外資台指期淨空-97,582口創2026年新深，立場維持看空；收盤後Q3法說：營收US$46.72B超指引上緣、毛利率66.4%、EPS NT$29.43創高、Q4財測$52.3–54.3B、全年成長上修至約44%；ADR-1.80%收422.25、費半連7跌；夜盤個股期2,453偏強。</t>
        </is>
      </c>
      <c r="G145" s="50" t="inlineStr">
        <is>
          <t>Yahoo Finance / Bloomberg</t>
        </is>
      </c>
    </row>
    <row r="146">
      <c r="A146" s="53" t="inlineStr">
        <is>
          <t>2026-10-19</t>
        </is>
      </c>
      <c r="B146" s="53" t="inlineStr">
        <is>
          <t>NT$2,420（10/16收，-20、-0.82%；開2,430高2,445低2,420，開低走低收最低小黑K，2,450–2,490缺口未回補，收盤低於MA60 2,421僅1元）；10/15收NT$2,440（-2.01%）</t>
        </is>
      </c>
      <c r="C146" s="56" t="inlineStr">
        <is>
          <t>-0.82%（10/16收，相對大盤-1.12pp；加權+141.39點、+0.30%收47,111.26，全市場成交9,938.15億）；10/15為-2.01%</t>
        </is>
      </c>
      <c r="D146" s="53" t="inlineStr">
        <is>
          <t>US$412.61（10/16收，-2.28%；連3跌、8/24以來最低、五日-8.98%；ADR溢價收斂至+10.28%）；10/15收US$422.25（-1.80%）</t>
        </is>
      </c>
      <c r="E146" s="53" t="inlineStr">
        <is>
          <t>43,047（10/16收，-26.4%；高於前報基準34,819張23.6%、高於新5日均量38,800張10.9%；2026年190日中第57）；10/15為58,487張</t>
        </is>
      </c>
      <c r="F146" s="55" t="inlineStr">
        <is>
          <t>10/16法說後首日收最低2,420（-0.82%），外資賣超22,046張連8賣、低於MA60 1元，維持看空；費半-3.83%、ADR-2.28%，夜盤偏弱。</t>
        </is>
      </c>
      <c r="G146" s="53" t="inlineStr">
        <is>
          <t>Yahoo Finance / Bloomberg</t>
        </is>
      </c>
    </row>
    <row r="147">
      <c r="A147" s="50" t="inlineStr">
        <is>
          <t>2026-10-20</t>
        </is>
      </c>
      <c r="B147" s="50" t="inlineStr">
        <is>
          <t>NT$2,420（10/19收，平盤0.00、0.00%；開2,395高2,420低2,390，開低25元、盤中2,390跌破季線MA60 2,421.5後尾盤拉回收在全日最高的紅K，2,450–2,490缺口第3日未回補，收盤連2日低於MA60 1.5元）；10/16收NT$2,420（-0.82%）</t>
        </is>
      </c>
      <c r="C147" s="61" t="inlineStr">
        <is>
          <t>0.00%（10/19收，平盤，相對大盤+0.61pp；加權-289.18點、-0.61%收46,822.08，全市場成交8,667.12億）；10/16為-0.82%</t>
        </is>
      </c>
      <c r="D147" s="50" t="inlineStr">
        <is>
          <t>US$420.22（10/19收，+1.84%；終止連3跌、五日-5.43%；ADR溢價擴大至+12.70%，新台幣收32.445、取32.45）；10/16收US$412.61（-2.28%）</t>
        </is>
      </c>
      <c r="E147" s="50" t="inlineStr">
        <is>
          <t>27,695（10/19收，-35.7%；低於前報基準38,800張28.6%、低於新5日均量39,627張30.1%；10/12以來最低，2026年191日中第138）；10/16為43,047張</t>
        </is>
      </c>
      <c r="F147" s="52" t="inlineStr">
        <is>
          <t>10/19盤中2,390破季線後拉回平盤2,420，量縮27,695張，外資賣超縮至9,834張連9賣、投信買3,884張，維持看空；費半+1.61%終止連8跌、ADR+1.84%，夜盤中性。</t>
        </is>
      </c>
      <c r="G147"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2026-10-20T01:49:53Z</dcterms:modified>
  <cp:lastModifiedBy>吳銘祥 Tom Wu</cp:lastModifiedBy>
</cp:coreProperties>
</file>
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Arial"/>
      <b val="1"/>
      <color rgb="00FFFFFF"/>
      <sz val="22"/>
    </font>
    <font>
      <name val="Arial"/>
      <color rgb="00BDD7EE"/>
      <sz val="13"/>
    </font>
    <font>
      <name val="Arial"/>
      <color rgb="001F3864"/>
      <sz val="11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404040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i val="1"/>
      <color rgb="00FF0000"/>
      <sz val="9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color rgb="0000B050"/>
      <sz val="10"/>
    </font>
    <font>
      <name val="Arial"/>
      <color rgb="00FF0000"/>
      <sz val="10"/>
    </font>
    <font>
      <name val="Arial"/>
      <color rgb="001F3864"/>
      <sz val="10"/>
    </font>
    <font>
      <name val="Arial"/>
      <b val="1"/>
      <color rgb="00000000"/>
      <sz val="10"/>
    </font>
    <font>
      <name val="Arial"/>
      <b val="1"/>
      <sz val="10"/>
    </font>
    <font>
      <name val="Arial"/>
      <sz val="10"/>
    </font>
    <font>
      <name val="Arial"/>
      <b val="1"/>
      <color rgb="001F3864"/>
      <sz val="12"/>
    </font>
    <font>
      <name val="Arial"/>
      <i val="1"/>
      <color rgb="00404040"/>
      <sz val="10"/>
    </font>
    <font>
      <name val="Arial"/>
      <b val="1"/>
      <color rgb="00888888"/>
      <sz val="10"/>
    </font>
    <font>
      <name val="Arial"/>
      <b val="1"/>
      <color rgb="0000B050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2E75B6"/>
      </patternFill>
    </fill>
    <fill>
      <patternFill patternType="solid">
        <fgColor rgb="00E9F2FB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FD7D7"/>
      </patternFill>
    </fill>
    <fill>
      <patternFill patternType="solid">
        <fgColor rgb="00D7F0D7"/>
      </patternFill>
    </fill>
    <fill>
      <patternFill patternType="solid">
        <fgColor rgb="00DEEAF1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8" fillId="0" borderId="0" pivotButton="0" quotePrefix="0" xfId="0"/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22" customWidth="1" min="4" max="4"/>
  </cols>
  <sheetData>
    <row r="1" ht="15" customHeight="1">
      <c r="A1" s="1" t="inlineStr">
        <is>
          <t>TSMC 台積電 (2330) 股市分析報告</t>
        </is>
      </c>
    </row>
    <row r="2" ht="60" customHeight="1">
      <c r="A2" s="2" t="inlineStr">
        <is>
          <t>Taiwan Semiconductor Manufacturing Company Limited</t>
        </is>
      </c>
    </row>
    <row r="3" ht="30" customHeight="1">
      <c r="A3" s="3" t="inlineStr">
        <is>
          <t>報告更新日期：2026-03-11</t>
        </is>
      </c>
    </row>
    <row r="4" ht="20" customHeight="1"/>
    <row r="5" ht="5" customHeight="1"/>
    <row r="6">
      <c r="A6" s="4" t="inlineStr">
        <is>
          <t>股票基本資訊</t>
        </is>
      </c>
      <c r="B6" s="42" t="n"/>
      <c r="C6" s="42" t="n"/>
      <c r="D6" s="43" t="n"/>
    </row>
    <row r="7">
      <c r="A7" s="5" t="inlineStr">
        <is>
          <t>項目</t>
        </is>
      </c>
      <c r="B7" s="5" t="inlineStr">
        <is>
          <t>台股 (2330.TW)</t>
        </is>
      </c>
      <c r="C7" s="5" t="inlineStr">
        <is>
          <t>NYSE ADR (TSM)</t>
        </is>
      </c>
      <c r="D7" s="5" t="inlineStr">
        <is>
          <t>備註</t>
        </is>
      </c>
    </row>
    <row r="8">
      <c r="A8" s="6" t="inlineStr">
        <is>
          <t>當前股價</t>
        </is>
      </c>
      <c r="B8" s="7" t="inlineStr">
        <is>
          <t>NT$1,900</t>
        </is>
      </c>
      <c r="C8" s="7" t="inlineStr">
        <is>
          <t>US$338.89</t>
        </is>
      </c>
      <c r="D8" s="7" t="inlineStr">
        <is>
          <t>2026-03-08收盤</t>
        </is>
      </c>
    </row>
    <row r="9">
      <c r="A9" s="8" t="inlineStr">
        <is>
          <t>52週最高</t>
        </is>
      </c>
      <c r="B9" s="9" t="inlineStr">
        <is>
          <t>NT$2,025</t>
        </is>
      </c>
      <c r="C9" s="9" t="inlineStr">
        <is>
          <t>US$426.42</t>
        </is>
      </c>
      <c r="D9" s="9" t="inlineStr">
        <is>
          <t>2026-02-25</t>
        </is>
      </c>
    </row>
    <row r="10">
      <c r="A10" s="6" t="inlineStr">
        <is>
          <t>52週最低</t>
        </is>
      </c>
      <c r="B10" s="7" t="inlineStr">
        <is>
          <t>NT$1,015</t>
        </is>
      </c>
      <c r="C10" s="7" t="inlineStr">
        <is>
          <t>US$133.15</t>
        </is>
      </c>
      <c r="D10" s="7" t="inlineStr">
        <is>
          <t>—</t>
        </is>
      </c>
    </row>
    <row r="11">
      <c r="A11" s="8" t="inlineStr">
        <is>
          <t>市值</t>
        </is>
      </c>
      <c r="B11" s="9" t="inlineStr">
        <is>
          <t>NT$49.27 兆</t>
        </is>
      </c>
      <c r="C11" s="9" t="inlineStr">
        <is>
          <t>—</t>
        </is>
      </c>
      <c r="D11" s="9" t="inlineStr">
        <is>
          <t>—</t>
        </is>
      </c>
    </row>
    <row r="12">
      <c r="A12" s="6" t="inlineStr">
        <is>
          <t>Beta值</t>
        </is>
      </c>
      <c r="B12" s="7" t="inlineStr">
        <is>
          <t>1.16</t>
        </is>
      </c>
      <c r="C12" s="7" t="inlineStr">
        <is>
          <t>1.16</t>
        </is>
      </c>
      <c r="D12" s="7" t="inlineStr">
        <is>
          <t>市場敏感度</t>
        </is>
      </c>
    </row>
    <row r="13">
      <c r="A13" s="8" t="inlineStr">
        <is>
          <t>股價波動率</t>
        </is>
      </c>
      <c r="B13" s="9" t="inlineStr">
        <is>
          <t>1.06%</t>
        </is>
      </c>
      <c r="C13" s="9" t="inlineStr">
        <is>
          <t>1.06%</t>
        </is>
      </c>
      <c r="D13" s="9" t="inlineStr">
        <is>
          <t>年化</t>
        </is>
      </c>
    </row>
    <row r="14">
      <c r="A14" s="6" t="inlineStr">
        <is>
          <t>下次除息日</t>
        </is>
      </c>
      <c r="B14" s="7" t="inlineStr">
        <is>
          <t>2026-03-17</t>
        </is>
      </c>
      <c r="C14" s="7" t="inlineStr">
        <is>
          <t>2026-03-17</t>
        </is>
      </c>
      <c r="D14" s="7" t="inlineStr">
        <is>
          <t>NT$6.00/股</t>
        </is>
      </c>
    </row>
    <row r="15">
      <c r="A15" s="8" t="inlineStr">
        <is>
          <t>下次財報日</t>
        </is>
      </c>
      <c r="B15" s="9" t="inlineStr">
        <is>
          <t>2026-04-16</t>
        </is>
      </c>
      <c r="C15" s="9" t="inlineStr">
        <is>
          <t>2026-04-16</t>
        </is>
      </c>
      <c r="D15" s="9" t="inlineStr">
        <is>
          <t>Q1 2026</t>
        </is>
      </c>
    </row>
    <row r="17" ht="8" customHeight="1"/>
    <row r="18">
      <c r="A18" s="10" t="inlineStr">
        <is>
          <t>Source: Yahoo Finance, CNBC, MarketScreener, 2026-03-09</t>
        </is>
      </c>
    </row>
    <row r="19" ht="25" customHeight="1">
      <c r="A19" s="11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2:D2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 ht="30" customHeight="1">
      <c r="A1" s="12" t="inlineStr">
        <is>
          <t>TSMC 財務摘要 | Financial Summary</t>
        </is>
      </c>
    </row>
    <row r="3">
      <c r="A3" s="4" t="inlineStr">
        <is>
          <t>季度財務數據 (Quarterly P&amp;L)</t>
        </is>
      </c>
      <c r="B3" s="42" t="n"/>
      <c r="C3" s="42" t="n"/>
      <c r="D3" s="42" t="n"/>
      <c r="E3" s="42" t="n"/>
      <c r="F3" s="43" t="n"/>
    </row>
    <row r="4">
      <c r="A4" s="5" t="inlineStr">
        <is>
          <t>財務指標</t>
        </is>
      </c>
      <c r="B4" s="5" t="inlineStr">
        <is>
          <t>Q4 2025</t>
        </is>
      </c>
      <c r="C4" s="5" t="inlineStr">
        <is>
          <t>Q3 2025</t>
        </is>
      </c>
      <c r="D4" s="5" t="inlineStr">
        <is>
          <t>Q4 2024</t>
        </is>
      </c>
      <c r="E4" s="5" t="inlineStr">
        <is>
          <t>YoY變化</t>
        </is>
      </c>
      <c r="F4" s="5" t="inlineStr">
        <is>
          <t>備註</t>
        </is>
      </c>
    </row>
    <row r="5">
      <c r="A5" s="8" t="inlineStr">
        <is>
          <t>合併營收 (NT$ B)</t>
        </is>
      </c>
      <c r="B5" s="13" t="inlineStr">
        <is>
          <t>1,046.09</t>
        </is>
      </c>
      <c r="C5" s="9" t="inlineStr">
        <is>
          <t>~975</t>
        </is>
      </c>
      <c r="D5" s="9" t="inlineStr">
        <is>
          <t>~759</t>
        </is>
      </c>
      <c r="E5" s="14" t="inlineStr">
        <is>
          <t>+37.8% YoY</t>
        </is>
      </c>
      <c r="F5" s="15" t="inlineStr">
        <is>
          <t>Source: TSMC PR 2026-01-16</t>
        </is>
      </c>
    </row>
    <row r="6">
      <c r="A6" s="6" t="inlineStr">
        <is>
          <t>淨利 (NT$ B)</t>
        </is>
      </c>
      <c r="B6" s="16" t="inlineStr">
        <is>
          <t>505.74</t>
        </is>
      </c>
      <c r="C6" s="7" t="inlineStr">
        <is>
          <t>~452.30</t>
        </is>
      </c>
      <c r="D6" s="7" t="inlineStr">
        <is>
          <t>~374</t>
        </is>
      </c>
      <c r="E6" s="17" t="inlineStr">
        <is>
          <t>+35.3% YoY</t>
        </is>
      </c>
      <c r="F6" s="18" t="inlineStr">
        <is>
          <t>Source: TSMC PR 2026-01-16</t>
        </is>
      </c>
    </row>
    <row r="7">
      <c r="A7" s="8" t="inlineStr">
        <is>
          <t>每股盈餘 EPS (NT$)</t>
        </is>
      </c>
      <c r="B7" s="13" t="inlineStr">
        <is>
          <t>19.50</t>
        </is>
      </c>
      <c r="C7" s="9" t="inlineStr">
        <is>
          <t>~17.40</t>
        </is>
      </c>
      <c r="D7" s="9" t="inlineStr">
        <is>
          <t>~14.45</t>
        </is>
      </c>
      <c r="E7" s="14" t="inlineStr">
        <is>
          <t>+34.9% YoY</t>
        </is>
      </c>
      <c r="F7" s="15" t="inlineStr">
        <is>
          <t>Source: TSMC PR 2026-01-16, Q4 EPS</t>
        </is>
      </c>
    </row>
    <row r="8">
      <c r="A8" s="6" t="inlineStr">
        <is>
          <t>毛利率</t>
        </is>
      </c>
      <c r="B8" s="16" t="inlineStr">
        <is>
          <t>62.3%</t>
        </is>
      </c>
      <c r="C8" s="7" t="inlineStr">
        <is>
          <t>57.8%</t>
        </is>
      </c>
      <c r="D8" s="7" t="inlineStr">
        <is>
          <t>~53%</t>
        </is>
      </c>
      <c r="E8" s="17" t="inlineStr">
        <is>
          <t>+9.3pp YoY</t>
        </is>
      </c>
      <c r="F8" s="18" t="inlineStr">
        <is>
          <t>Source: TSMC Earnings Q4 2025</t>
        </is>
      </c>
    </row>
    <row r="9">
      <c r="A9" s="8" t="inlineStr">
        <is>
          <t>營業利益率</t>
        </is>
      </c>
      <c r="B9" s="13" t="inlineStr">
        <is>
          <t>54.0%</t>
        </is>
      </c>
      <c r="C9" s="9" t="inlineStr">
        <is>
          <t>50.6%</t>
        </is>
      </c>
      <c r="D9" s="9" t="inlineStr">
        <is>
          <t>~46.7%</t>
        </is>
      </c>
      <c r="E9" s="14" t="inlineStr">
        <is>
          <t>+7.3pp YoY</t>
        </is>
      </c>
      <c r="F9" s="15" t="inlineStr">
        <is>
          <t>Source: TSMC Earnings Q4 2025</t>
        </is>
      </c>
    </row>
    <row r="10">
      <c r="A10" s="6" t="inlineStr">
        <is>
          <t>ROE</t>
        </is>
      </c>
      <c r="B10" s="16" t="inlineStr">
        <is>
          <t>38.8%</t>
        </is>
      </c>
      <c r="C10" s="7" t="inlineStr">
        <is>
          <t>~36%</t>
        </is>
      </c>
      <c r="D10" s="7" t="inlineStr">
        <is>
          <t>~29%</t>
        </is>
      </c>
      <c r="E10" s="17" t="inlineStr">
        <is>
          <t>+9.8pp YoY</t>
        </is>
      </c>
      <c r="F10" s="18" t="inlineStr">
        <is>
          <t>Source: TSMC Earnings Q4 2025</t>
        </is>
      </c>
    </row>
    <row r="12" ht="8" customHeight="1"/>
    <row r="13">
      <c r="A13" s="4" t="inlineStr">
        <is>
          <t>全年財務數據 (Full-Year 2025 vs 2024)</t>
        </is>
      </c>
      <c r="B13" s="42" t="n"/>
      <c r="C13" s="42" t="n"/>
      <c r="D13" s="42" t="n"/>
      <c r="E13" s="42" t="n"/>
      <c r="F13" s="43" t="n"/>
    </row>
    <row r="14">
      <c r="A14" s="5" t="inlineStr">
        <is>
          <t>財務指標</t>
        </is>
      </c>
      <c r="B14" s="5" t="inlineStr">
        <is>
          <t>FY 2025</t>
        </is>
      </c>
      <c r="C14" s="5" t="inlineStr">
        <is>
          <t>FY 2024</t>
        </is>
      </c>
      <c r="D14" s="5" t="inlineStr">
        <is>
          <t>YoY變化 (%)</t>
        </is>
      </c>
      <c r="E14" s="5" t="inlineStr">
        <is>
          <t>YoY變化 (pp)</t>
        </is>
      </c>
      <c r="F14" s="5" t="inlineStr">
        <is>
          <t>備註</t>
        </is>
      </c>
    </row>
    <row r="15">
      <c r="A15" s="8" t="inlineStr">
        <is>
          <t>合併營收 (NT$ 兆)</t>
        </is>
      </c>
      <c r="B15" s="13" t="inlineStr">
        <is>
          <t>3.8</t>
        </is>
      </c>
      <c r="C15" s="9" t="inlineStr">
        <is>
          <t>2.89</t>
        </is>
      </c>
      <c r="D15" s="14" t="inlineStr">
        <is>
          <t>+31.6%</t>
        </is>
      </c>
      <c r="E15" s="14" t="inlineStr">
        <is>
          <t>—</t>
        </is>
      </c>
      <c r="F15" s="15" t="inlineStr">
        <is>
          <t>Source: TSMC Annual Results 2025</t>
        </is>
      </c>
    </row>
    <row r="16">
      <c r="A16" s="6" t="inlineStr">
        <is>
          <t>合併營收 (USD B)</t>
        </is>
      </c>
      <c r="B16" s="16" t="inlineStr">
        <is>
          <t>122</t>
        </is>
      </c>
      <c r="C16" s="7" t="inlineStr">
        <is>
          <t>89.5</t>
        </is>
      </c>
      <c r="D16" s="17" t="inlineStr">
        <is>
          <t>+36.4%</t>
        </is>
      </c>
      <c r="E16" s="17" t="inlineStr">
        <is>
          <t>—</t>
        </is>
      </c>
      <c r="F16" s="18" t="inlineStr">
        <is>
          <t>Source: TSMC Annual Results 2025</t>
        </is>
      </c>
    </row>
    <row r="17">
      <c r="A17" s="8" t="inlineStr">
        <is>
          <t>全年毛利率</t>
        </is>
      </c>
      <c r="B17" s="13" t="inlineStr">
        <is>
          <t>59.9%</t>
        </is>
      </c>
      <c r="C17" s="9" t="inlineStr">
        <is>
          <t>53.0%</t>
        </is>
      </c>
      <c r="D17" s="14" t="inlineStr">
        <is>
          <t>+3.8pp</t>
        </is>
      </c>
      <c r="E17" s="14" t="inlineStr">
        <is>
          <t>+3.8</t>
        </is>
      </c>
      <c r="F17" s="15" t="inlineStr">
        <is>
          <t>Source: TSMC Annual Results 2025</t>
        </is>
      </c>
    </row>
    <row r="18">
      <c r="A18" s="6" t="inlineStr">
        <is>
          <t>全年營業利益率</t>
        </is>
      </c>
      <c r="B18" s="16" t="inlineStr">
        <is>
          <t>50.8%</t>
        </is>
      </c>
      <c r="C18" s="7" t="inlineStr">
        <is>
          <t>42.6%</t>
        </is>
      </c>
      <c r="D18" s="17" t="inlineStr">
        <is>
          <t>+5.1pp</t>
        </is>
      </c>
      <c r="E18" s="17" t="inlineStr">
        <is>
          <t>+5.1</t>
        </is>
      </c>
      <c r="F18" s="18" t="inlineStr">
        <is>
          <t>Source: TSMC Annual Results 2025</t>
        </is>
      </c>
    </row>
    <row r="19">
      <c r="A19" s="8" t="inlineStr">
        <is>
          <t>全年 EPS (NT$)</t>
        </is>
      </c>
      <c r="B19" s="13" t="inlineStr">
        <is>
          <t>66.25</t>
        </is>
      </c>
      <c r="C19" s="9" t="inlineStr">
        <is>
          <t>45.25</t>
        </is>
      </c>
      <c r="D19" s="14" t="inlineStr">
        <is>
          <t>+46.4%</t>
        </is>
      </c>
      <c r="E19" s="14" t="inlineStr">
        <is>
          <t>—</t>
        </is>
      </c>
      <c r="F19" s="15" t="inlineStr">
        <is>
          <t>Source: TSMC Annual Results 2025</t>
        </is>
      </c>
    </row>
    <row r="20">
      <c r="A20" s="6" t="inlineStr">
        <is>
          <t>全年 ROE</t>
        </is>
      </c>
      <c r="B20" s="16" t="inlineStr">
        <is>
          <t>35.4%</t>
        </is>
      </c>
      <c r="C20" s="7" t="inlineStr">
        <is>
          <t>26.8%</t>
        </is>
      </c>
      <c r="D20" s="17" t="inlineStr">
        <is>
          <t>+8.6pp</t>
        </is>
      </c>
      <c r="E20" s="17" t="inlineStr">
        <is>
          <t>+8.6</t>
        </is>
      </c>
      <c r="F20" s="18" t="inlineStr">
        <is>
          <t>Source: TSMC Annual Results 2025</t>
        </is>
      </c>
    </row>
    <row r="21">
      <c r="A21" s="8" t="inlineStr">
        <is>
          <t>營業現金流 (NT$ 兆)</t>
        </is>
      </c>
      <c r="B21" s="13" t="inlineStr">
        <is>
          <t>2.3</t>
        </is>
      </c>
      <c r="C21" s="9" t="inlineStr">
        <is>
          <t>1.97</t>
        </is>
      </c>
      <c r="D21" s="14" t="inlineStr">
        <is>
          <t>+16.8%</t>
        </is>
      </c>
      <c r="E21" s="14" t="inlineStr">
        <is>
          <t>—</t>
        </is>
      </c>
      <c r="F21" s="15" t="inlineStr">
        <is>
          <t>Source: TSMC Annual Results 2025</t>
        </is>
      </c>
    </row>
    <row r="22">
      <c r="A22" s="6" t="inlineStr">
        <is>
          <t>自由現金流 (NT$ 兆)</t>
        </is>
      </c>
      <c r="B22" s="16" t="inlineStr">
        <is>
          <t>1.0</t>
        </is>
      </c>
      <c r="C22" s="7" t="inlineStr">
        <is>
          <t>0.87</t>
        </is>
      </c>
      <c r="D22" s="17" t="inlineStr">
        <is>
          <t>+15.2%</t>
        </is>
      </c>
      <c r="E22" s="17" t="inlineStr">
        <is>
          <t>—</t>
        </is>
      </c>
      <c r="F22" s="18" t="inlineStr">
        <is>
          <t>Source: TSMC Annual Results 2025</t>
        </is>
      </c>
    </row>
    <row r="23">
      <c r="A23" s="8" t="inlineStr">
        <is>
          <t>現金及有價證券 (NT$ 兆)</t>
        </is>
      </c>
      <c r="B23" s="13" t="inlineStr">
        <is>
          <t>3.1</t>
        </is>
      </c>
      <c r="C23" s="9" t="inlineStr">
        <is>
          <t>—</t>
        </is>
      </c>
      <c r="D23" s="14" t="inlineStr">
        <is>
          <t>—</t>
        </is>
      </c>
      <c r="E23" s="14" t="inlineStr">
        <is>
          <t>—</t>
        </is>
      </c>
      <c r="F23" s="15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0" customWidth="1" min="5" max="5"/>
  </cols>
  <sheetData>
    <row r="1" ht="30" customHeight="1">
      <c r="A1" s="12" t="inlineStr">
        <is>
          <t>TSMC 營收結構分析 | Revenue Breakdown Q4 2025</t>
        </is>
      </c>
    </row>
    <row r="3">
      <c r="A3" s="4" t="inlineStr">
        <is>
          <t>業務別營收佔比 (Business Segment)</t>
        </is>
      </c>
      <c r="B3" s="42" t="n"/>
      <c r="C3" s="42" t="n"/>
      <c r="D3" s="42" t="n"/>
      <c r="E3" s="43" t="n"/>
    </row>
    <row r="4">
      <c r="A4" s="5" t="inlineStr">
        <is>
          <t>業務別</t>
        </is>
      </c>
      <c r="B4" s="5" t="inlineStr">
        <is>
          <t>Q4 2025 佔比</t>
        </is>
      </c>
      <c r="C4" s="5" t="inlineStr">
        <is>
          <t>QoQ變化</t>
        </is>
      </c>
      <c r="D4" s="5" t="inlineStr">
        <is>
          <t>FY 2025 佔比</t>
        </is>
      </c>
      <c r="E4" s="5" t="inlineStr">
        <is>
          <t>YoY變化</t>
        </is>
      </c>
    </row>
    <row r="5">
      <c r="A5" s="8" t="inlineStr">
        <is>
          <t>HPC (高效能運算)</t>
        </is>
      </c>
      <c r="B5" s="13" t="inlineStr">
        <is>
          <t>55%</t>
        </is>
      </c>
      <c r="C5" s="14" t="inlineStr">
        <is>
          <t>+4%</t>
        </is>
      </c>
      <c r="D5" s="9" t="inlineStr">
        <is>
          <t>58%</t>
        </is>
      </c>
      <c r="E5" s="14" t="inlineStr">
        <is>
          <t>+48% YoY</t>
        </is>
      </c>
    </row>
    <row r="6">
      <c r="A6" s="6" t="inlineStr">
        <is>
          <t>智慧型手機</t>
        </is>
      </c>
      <c r="B6" s="16" t="inlineStr">
        <is>
          <t>28%</t>
        </is>
      </c>
      <c r="C6" s="17" t="inlineStr">
        <is>
          <t>+11%</t>
        </is>
      </c>
      <c r="D6" s="7" t="inlineStr">
        <is>
          <t>25%</t>
        </is>
      </c>
      <c r="E6" s="17" t="inlineStr">
        <is>
          <t>+11% YoY</t>
        </is>
      </c>
    </row>
    <row r="7">
      <c r="A7" s="8" t="inlineStr">
        <is>
          <t>IoT (物聯網)</t>
        </is>
      </c>
      <c r="B7" s="13" t="inlineStr">
        <is>
          <t>5%</t>
        </is>
      </c>
      <c r="C7" s="14" t="inlineStr">
        <is>
          <t>+3%</t>
        </is>
      </c>
      <c r="D7" s="9" t="inlineStr">
        <is>
          <t>6%</t>
        </is>
      </c>
      <c r="E7" s="14" t="inlineStr">
        <is>
          <t>—</t>
        </is>
      </c>
    </row>
    <row r="8">
      <c r="A8" s="6" t="inlineStr">
        <is>
          <t>汽車電子</t>
        </is>
      </c>
      <c r="B8" s="16" t="inlineStr">
        <is>
          <t>5%</t>
        </is>
      </c>
      <c r="C8" s="19" t="inlineStr">
        <is>
          <t>-1%</t>
        </is>
      </c>
      <c r="D8" s="7" t="inlineStr">
        <is>
          <t>5%</t>
        </is>
      </c>
      <c r="E8" s="17" t="inlineStr">
        <is>
          <t>—</t>
        </is>
      </c>
    </row>
    <row r="9">
      <c r="A9" s="8" t="inlineStr">
        <is>
          <t>DCE (數位消費電子)</t>
        </is>
      </c>
      <c r="B9" s="13" t="inlineStr">
        <is>
          <t>1%</t>
        </is>
      </c>
      <c r="C9" s="20" t="inlineStr">
        <is>
          <t>-22%</t>
        </is>
      </c>
      <c r="D9" s="9" t="inlineStr">
        <is>
          <t>1%</t>
        </is>
      </c>
      <c r="E9" s="14" t="inlineStr">
        <is>
          <t>—</t>
        </is>
      </c>
    </row>
    <row r="10">
      <c r="A10" s="6" t="inlineStr">
        <is>
          <t>AI 加速器</t>
        </is>
      </c>
      <c r="B10" s="16" t="inlineStr">
        <is>
          <t>High-teens%</t>
        </is>
      </c>
      <c r="C10" s="7" t="inlineStr">
        <is>
          <t>—</t>
        </is>
      </c>
      <c r="D10" s="7" t="inlineStr">
        <is>
          <t>High-teens%</t>
        </is>
      </c>
      <c r="E10" s="17" t="inlineStr">
        <is>
          <t>快速成長</t>
        </is>
      </c>
    </row>
    <row r="11">
      <c r="A11" s="21" t="inlineStr">
        <is>
          <t>Source: TSMC Q4 2025 Earnings Call, 2026-01-16</t>
        </is>
      </c>
    </row>
    <row r="13" ht="8" customHeight="1"/>
    <row r="14">
      <c r="A14" s="4" t="inlineStr">
        <is>
          <t>製程節點佔比 (Technology Node Mix) — Q4 2025</t>
        </is>
      </c>
      <c r="B14" s="42" t="n"/>
      <c r="C14" s="42" t="n"/>
      <c r="D14" s="42" t="n"/>
      <c r="E14" s="43" t="n"/>
    </row>
    <row r="15">
      <c r="A15" s="5" t="inlineStr">
        <is>
          <t>製程節點</t>
        </is>
      </c>
      <c r="B15" s="5" t="inlineStr">
        <is>
          <t>晶圓營收佔比</t>
        </is>
      </c>
      <c r="C15" s="5" t="inlineStr">
        <is>
          <t>技術分類</t>
        </is>
      </c>
      <c r="D15" s="5" t="inlineStr">
        <is>
          <t>狀態</t>
        </is>
      </c>
      <c r="E15" s="5" t="inlineStr">
        <is>
          <t>備註</t>
        </is>
      </c>
    </row>
    <row r="16">
      <c r="A16" s="6" t="inlineStr">
        <is>
          <t>N3 (3奈米)</t>
        </is>
      </c>
      <c r="B16" s="22" t="inlineStr">
        <is>
          <t>28%</t>
        </is>
      </c>
      <c r="C16" s="7" t="inlineStr">
        <is>
          <t>先進製程 ≤7nm</t>
        </is>
      </c>
      <c r="D16" s="7" t="inlineStr">
        <is>
          <t>量產中</t>
        </is>
      </c>
      <c r="E16" s="18" t="inlineStr">
        <is>
          <t>高效能、低功耗</t>
        </is>
      </c>
    </row>
    <row r="17">
      <c r="A17" s="8" t="inlineStr">
        <is>
          <t>N5 (5奈米)</t>
        </is>
      </c>
      <c r="B17" s="23" t="inlineStr">
        <is>
          <t>35%</t>
        </is>
      </c>
      <c r="C17" s="9" t="inlineStr">
        <is>
          <t>先進製程 ≤7nm</t>
        </is>
      </c>
      <c r="D17" s="9" t="inlineStr">
        <is>
          <t>量產中</t>
        </is>
      </c>
      <c r="E17" s="15" t="inlineStr">
        <is>
          <t>主力製程</t>
        </is>
      </c>
    </row>
    <row r="18">
      <c r="A18" s="6" t="inlineStr">
        <is>
          <t>N7 (7奈米)</t>
        </is>
      </c>
      <c r="B18" s="22" t="inlineStr">
        <is>
          <t>14%</t>
        </is>
      </c>
      <c r="C18" s="7" t="inlineStr">
        <is>
          <t>先進製程 ≤7nm</t>
        </is>
      </c>
      <c r="D18" s="7" t="inlineStr">
        <is>
          <t>量產中</t>
        </is>
      </c>
      <c r="E18" s="18" t="inlineStr">
        <is>
          <t>成熟先進製程</t>
        </is>
      </c>
    </row>
    <row r="19">
      <c r="A19" s="24" t="inlineStr">
        <is>
          <t>小計 ≤7nm</t>
        </is>
      </c>
      <c r="B19" s="25" t="inlineStr">
        <is>
          <t>77%</t>
        </is>
      </c>
      <c r="C19" s="26" t="inlineStr">
        <is>
          <t>先進製程合計</t>
        </is>
      </c>
      <c r="D19" s="26" t="inlineStr">
        <is>
          <t>—</t>
        </is>
      </c>
      <c r="E19" s="27">
        <f>SUM(B16:B18)</f>
        <v/>
      </c>
    </row>
    <row r="20">
      <c r="A20" s="6" t="inlineStr">
        <is>
          <t>N2 (2奈米)</t>
        </is>
      </c>
      <c r="B20" s="22" t="inlineStr">
        <is>
          <t>初期</t>
        </is>
      </c>
      <c r="C20" s="7" t="inlineStr">
        <is>
          <t>次世代製程</t>
        </is>
      </c>
      <c r="D20" s="7" t="inlineStr">
        <is>
          <t>HVM啟動</t>
        </is>
      </c>
      <c r="E20" s="18" t="inlineStr">
        <is>
          <t>Q4 2025進入高量產</t>
        </is>
      </c>
    </row>
    <row r="21">
      <c r="A21" s="8" t="inlineStr">
        <is>
          <t>N2P / A16</t>
        </is>
      </c>
      <c r="B21" s="23" t="inlineStr">
        <is>
          <t>—</t>
        </is>
      </c>
      <c r="C21" s="9" t="inlineStr">
        <is>
          <t>次世代製程</t>
        </is>
      </c>
      <c r="D21" s="9" t="inlineStr">
        <is>
          <t>2026 H2</t>
        </is>
      </c>
      <c r="E21" s="15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  <col width="22" customWidth="1" min="4" max="4"/>
  </cols>
  <sheetData>
    <row r="1" ht="30" customHeight="1">
      <c r="A1" s="12" t="inlineStr">
        <is>
          <t>TSMC 2026年展望 | 2026 Outlook &amp; Guidance</t>
        </is>
      </c>
    </row>
    <row r="3">
      <c r="A3" s="4" t="inlineStr">
        <is>
          <t>Q1 2026 管理層指引 (Management Guidance)</t>
        </is>
      </c>
      <c r="B3" s="42" t="n"/>
      <c r="C3" s="42" t="n"/>
      <c r="D3" s="43" t="n"/>
    </row>
    <row r="4">
      <c r="A4" s="5" t="inlineStr">
        <is>
          <t>指標</t>
        </is>
      </c>
      <c r="B4" s="5" t="inlineStr">
        <is>
          <t>指引下限</t>
        </is>
      </c>
      <c r="C4" s="5" t="inlineStr">
        <is>
          <t>指引上限</t>
        </is>
      </c>
      <c r="D4" s="5" t="inlineStr">
        <is>
          <t>指引中位數</t>
        </is>
      </c>
    </row>
    <row r="5">
      <c r="A5" s="8" t="inlineStr">
        <is>
          <t>Q1 2026 營收 (USD B)</t>
        </is>
      </c>
      <c r="B5" s="9" t="inlineStr">
        <is>
          <t>34.6</t>
        </is>
      </c>
      <c r="C5" s="9" t="inlineStr">
        <is>
          <t>35.8</t>
        </is>
      </c>
      <c r="D5" s="13" t="inlineStr">
        <is>
          <t>35.2 (中位數)</t>
        </is>
      </c>
    </row>
    <row r="6">
      <c r="A6" s="6" t="inlineStr">
        <is>
          <t>Q1 2026 毛利率</t>
        </is>
      </c>
      <c r="B6" s="7" t="inlineStr">
        <is>
          <t>63.0%</t>
        </is>
      </c>
      <c r="C6" s="7" t="inlineStr">
        <is>
          <t>65.0%</t>
        </is>
      </c>
      <c r="D6" s="16" t="inlineStr">
        <is>
          <t>64.0% (中位數)</t>
        </is>
      </c>
    </row>
    <row r="7">
      <c r="A7" s="8" t="inlineStr">
        <is>
          <t>Q1 2026 營業利益率</t>
        </is>
      </c>
      <c r="B7" s="9" t="inlineStr">
        <is>
          <t>54.0%</t>
        </is>
      </c>
      <c r="C7" s="9" t="inlineStr">
        <is>
          <t>56.0%</t>
        </is>
      </c>
      <c r="D7" s="13" t="inlineStr">
        <is>
          <t>55.0% (中位數)</t>
        </is>
      </c>
    </row>
    <row r="8">
      <c r="A8" s="6" t="inlineStr">
        <is>
          <t>YoY 營收增長率</t>
        </is>
      </c>
      <c r="B8" s="7" t="inlineStr">
        <is>
          <t>~38%</t>
        </is>
      </c>
      <c r="C8" s="7" t="inlineStr">
        <is>
          <t>~38%</t>
        </is>
      </c>
      <c r="D8" s="16" t="inlineStr">
        <is>
          <t>~38%</t>
        </is>
      </c>
    </row>
    <row r="9">
      <c r="A9" s="21" t="inlineStr">
        <is>
          <t>Source: TSMC Q4 2025 Earnings Call, 2026-01-16 | https://pr.tsmc.com/english/news/3281</t>
        </is>
      </c>
    </row>
    <row r="11" ht="8" customHeight="1"/>
    <row r="12">
      <c r="A12" s="4" t="inlineStr">
        <is>
          <t>全年 2026 展望 (Full-Year 2026 Outlook)</t>
        </is>
      </c>
      <c r="B12" s="42" t="n"/>
      <c r="C12" s="42" t="n"/>
      <c r="D12" s="43" t="n"/>
    </row>
    <row r="13">
      <c r="A13" s="5" t="inlineStr">
        <is>
          <t>項目</t>
        </is>
      </c>
      <c r="B13" s="5" t="inlineStr">
        <is>
          <t>數值 / 範圍</t>
        </is>
      </c>
      <c r="C13" s="5" t="inlineStr">
        <is>
          <t>比較基準</t>
        </is>
      </c>
      <c r="D13" s="5" t="inlineStr">
        <is>
          <t>備註</t>
        </is>
      </c>
    </row>
    <row r="14">
      <c r="A14" s="6" t="inlineStr">
        <is>
          <t>全年營收增長率 (USD)</t>
        </is>
      </c>
      <c r="B14" s="16" t="inlineStr">
        <is>
          <t>~30% YoY</t>
        </is>
      </c>
      <c r="C14" s="7" t="inlineStr">
        <is>
          <t>FY 2025: $122B</t>
        </is>
      </c>
      <c r="D14" s="18" t="inlineStr">
        <is>
          <t>Source: TSMC FY2025 Results</t>
        </is>
      </c>
    </row>
    <row r="15">
      <c r="A15" s="8" t="inlineStr">
        <is>
          <t>資本支出 (CapEx)</t>
        </is>
      </c>
      <c r="B15" s="13" t="inlineStr">
        <is>
          <t>USD 52–56 B</t>
        </is>
      </c>
      <c r="C15" s="9" t="inlineStr">
        <is>
          <t>FY 2025: ~$38B</t>
        </is>
      </c>
      <c r="D15" s="15" t="inlineStr">
        <is>
          <t>Source: TSMC FY2025 Results</t>
        </is>
      </c>
    </row>
    <row r="16">
      <c r="A16" s="6" t="inlineStr">
        <is>
          <t>先進製程CapEx佔比</t>
        </is>
      </c>
      <c r="B16" s="16" t="inlineStr">
        <is>
          <t>70–80%</t>
        </is>
      </c>
      <c r="C16" s="7" t="inlineStr">
        <is>
          <t>—</t>
        </is>
      </c>
      <c r="D16" s="18" t="inlineStr">
        <is>
          <t>Source: TSMC FY2025 Results</t>
        </is>
      </c>
    </row>
    <row r="17">
      <c r="A17" s="8" t="inlineStr">
        <is>
          <t>預估下期 EPS (NT$)</t>
        </is>
      </c>
      <c r="B17" s="13" t="inlineStr">
        <is>
          <t>20.38</t>
        </is>
      </c>
      <c r="C17" s="9" t="inlineStr">
        <is>
          <t>Q4 2025: 19.50</t>
        </is>
      </c>
      <c r="D17" s="15" t="inlineStr">
        <is>
          <t>Source: MarketScreener Consensus</t>
        </is>
      </c>
    </row>
    <row r="18">
      <c r="A18" s="6" t="inlineStr">
        <is>
          <t>全年現金股利 (NT$/股)</t>
        </is>
      </c>
      <c r="B18" s="16" t="inlineStr">
        <is>
          <t>≥23</t>
        </is>
      </c>
      <c r="C18" s="7" t="inlineStr">
        <is>
          <t>FY 2025: 18</t>
        </is>
      </c>
      <c r="D18" s="18" t="inlineStr">
        <is>
          <t>Source: TSMC FY2025 Results</t>
        </is>
      </c>
    </row>
    <row r="19">
      <c r="A19" s="8" t="inlineStr">
        <is>
          <t>N2P / A16 量產</t>
        </is>
      </c>
      <c r="B19" s="13" t="inlineStr">
        <is>
          <t>2026 H2</t>
        </is>
      </c>
      <c r="C19" s="9" t="inlineStr">
        <is>
          <t>N2 已量產</t>
        </is>
      </c>
      <c r="D19" s="15" t="inlineStr">
        <is>
          <t>Source: TSMC Technology Roadmap</t>
        </is>
      </c>
    </row>
    <row r="20">
      <c r="A20" s="6" t="inlineStr">
        <is>
          <t>海外廠擴張</t>
        </is>
      </c>
      <c r="B20" s="16" t="inlineStr">
        <is>
          <t>Arizona / Japan</t>
        </is>
      </c>
      <c r="C20" s="7" t="inlineStr">
        <is>
          <t>持續投資</t>
        </is>
      </c>
      <c r="D20" s="18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2" t="inlineStr">
        <is>
          <t>TSMC 股息記錄 | Dividend History</t>
        </is>
      </c>
    </row>
    <row r="3">
      <c r="A3" s="4" t="inlineStr">
        <is>
          <t>年度現金股利 (Annual Cash Dividend)</t>
        </is>
      </c>
      <c r="B3" s="42" t="n"/>
      <c r="C3" s="42" t="n"/>
      <c r="D3" s="42" t="n"/>
      <c r="E3" s="43" t="n"/>
    </row>
    <row r="4">
      <c r="A4" s="5" t="inlineStr">
        <is>
          <t>年份</t>
        </is>
      </c>
      <c r="B4" s="5" t="inlineStr">
        <is>
          <t>現金股利 (NT$/股)</t>
        </is>
      </c>
      <c r="C4" s="5" t="inlineStr">
        <is>
          <t>YoY增長率</t>
        </is>
      </c>
      <c r="D4" s="5" t="inlineStr">
        <is>
          <t>發放日期</t>
        </is>
      </c>
      <c r="E4" s="5" t="inlineStr">
        <is>
          <t>備註</t>
        </is>
      </c>
    </row>
    <row r="5">
      <c r="A5" s="28" t="inlineStr">
        <is>
          <t>2022</t>
        </is>
      </c>
      <c r="B5" s="23" t="inlineStr">
        <is>
          <t>NT$10.00</t>
        </is>
      </c>
      <c r="C5" s="14" t="inlineStr">
        <is>
          <t>—</t>
        </is>
      </c>
      <c r="D5" s="9" t="inlineStr">
        <is>
          <t>2022</t>
        </is>
      </c>
      <c r="E5" s="15" t="inlineStr">
        <is>
          <t>Source: TSMC IR</t>
        </is>
      </c>
    </row>
    <row r="6">
      <c r="A6" s="29" t="inlineStr">
        <is>
          <t>2023</t>
        </is>
      </c>
      <c r="B6" s="22" t="inlineStr">
        <is>
          <t>NT$11.00</t>
        </is>
      </c>
      <c r="C6" s="17" t="inlineStr">
        <is>
          <t>+10.0%</t>
        </is>
      </c>
      <c r="D6" s="7" t="inlineStr">
        <is>
          <t>2023</t>
        </is>
      </c>
      <c r="E6" s="18" t="inlineStr">
        <is>
          <t>Source: TSMC IR</t>
        </is>
      </c>
    </row>
    <row r="7">
      <c r="A7" s="28" t="inlineStr">
        <is>
          <t>2024</t>
        </is>
      </c>
      <c r="B7" s="23" t="inlineStr">
        <is>
          <t>NT$14.00</t>
        </is>
      </c>
      <c r="C7" s="14" t="inlineStr">
        <is>
          <t>+27.3%</t>
        </is>
      </c>
      <c r="D7" s="9" t="inlineStr">
        <is>
          <t>2024</t>
        </is>
      </c>
      <c r="E7" s="15" t="inlineStr">
        <is>
          <t>Source: TSMC IR</t>
        </is>
      </c>
    </row>
    <row r="8">
      <c r="A8" s="29" t="inlineStr">
        <is>
          <t>2025</t>
        </is>
      </c>
      <c r="B8" s="22" t="inlineStr">
        <is>
          <t>NT$18.00</t>
        </is>
      </c>
      <c r="C8" s="17" t="inlineStr">
        <is>
          <t>+28.6%</t>
        </is>
      </c>
      <c r="D8" s="7" t="inlineStr">
        <is>
          <t>2025</t>
        </is>
      </c>
      <c r="E8" s="18" t="inlineStr">
        <is>
          <t>Source: TSMC FY2025 Results</t>
        </is>
      </c>
    </row>
    <row r="9">
      <c r="A9" s="30" t="inlineStr">
        <is>
          <t>2026</t>
        </is>
      </c>
      <c r="B9" s="31" t="inlineStr">
        <is>
          <t>NT$23.00+</t>
        </is>
      </c>
      <c r="C9" s="32" t="inlineStr">
        <is>
          <t>+27.8%+</t>
        </is>
      </c>
      <c r="D9" s="33" t="inlineStr">
        <is>
          <t>2026 (預估)</t>
        </is>
      </c>
      <c r="E9" s="34" t="inlineStr">
        <is>
          <t>Source: TSMC FY2025 Guidance; 最低金額</t>
        </is>
      </c>
    </row>
    <row r="11" ht="8" customHeight="1"/>
    <row r="12">
      <c r="A12" s="4" t="inlineStr">
        <is>
          <t>近期股息記錄 (Recent Quarterly Dividends)</t>
        </is>
      </c>
      <c r="B12" s="42" t="n"/>
      <c r="C12" s="42" t="n"/>
      <c r="D12" s="42" t="n"/>
      <c r="E12" s="43" t="n"/>
    </row>
    <row r="13">
      <c r="A13" s="5" t="inlineStr">
        <is>
          <t>季度</t>
        </is>
      </c>
      <c r="B13" s="5" t="inlineStr">
        <is>
          <t>每季現金股利 (NT$/股)</t>
        </is>
      </c>
      <c r="C13" s="5" t="inlineStr">
        <is>
          <t>除息日</t>
        </is>
      </c>
      <c r="D13" s="5" t="inlineStr">
        <is>
          <t>支付日</t>
        </is>
      </c>
      <c r="E13" s="5" t="inlineStr">
        <is>
          <t>備註</t>
        </is>
      </c>
    </row>
    <row r="14">
      <c r="A14" s="30" t="inlineStr">
        <is>
          <t>Q1 2026</t>
        </is>
      </c>
      <c r="B14" s="31" t="inlineStr">
        <is>
          <t>NT$6.00</t>
        </is>
      </c>
      <c r="C14" s="33" t="inlineStr">
        <is>
          <t>2026-03-17</t>
        </is>
      </c>
      <c r="D14" s="33" t="inlineStr">
        <is>
          <t>2026-04</t>
        </is>
      </c>
      <c r="E14" s="34" t="inlineStr">
        <is>
          <t>Source: TSMC IR</t>
        </is>
      </c>
    </row>
    <row r="15">
      <c r="A15" s="28" t="inlineStr">
        <is>
          <t>Q4 2025</t>
        </is>
      </c>
      <c r="B15" s="13" t="inlineStr">
        <is>
          <t>NT$4.50</t>
        </is>
      </c>
      <c r="C15" s="9" t="inlineStr">
        <is>
          <t>—</t>
        </is>
      </c>
      <c r="D15" s="9" t="inlineStr">
        <is>
          <t>2026-01</t>
        </is>
      </c>
      <c r="E15" s="15" t="inlineStr">
        <is>
          <t>Source: TSMC IR</t>
        </is>
      </c>
    </row>
    <row r="16">
      <c r="A16" s="29" t="inlineStr">
        <is>
          <t>Q3 2025</t>
        </is>
      </c>
      <c r="B16" s="16" t="inlineStr">
        <is>
          <t>NT$4.50</t>
        </is>
      </c>
      <c r="C16" s="7" t="inlineStr">
        <is>
          <t>—</t>
        </is>
      </c>
      <c r="D16" s="7" t="inlineStr">
        <is>
          <t>2025-10</t>
        </is>
      </c>
      <c r="E16" s="18" t="inlineStr">
        <is>
          <t>Source: TSMC IR</t>
        </is>
      </c>
    </row>
    <row r="17">
      <c r="A17" s="28" t="inlineStr">
        <is>
          <t>Q2 2025</t>
        </is>
      </c>
      <c r="B17" s="13" t="inlineStr">
        <is>
          <t>NT$4.50</t>
        </is>
      </c>
      <c r="C17" s="9" t="inlineStr">
        <is>
          <t>—</t>
        </is>
      </c>
      <c r="D17" s="9" t="inlineStr">
        <is>
          <t>2025-07</t>
        </is>
      </c>
      <c r="E17" s="15" t="inlineStr">
        <is>
          <t>Source: TSMC IR</t>
        </is>
      </c>
    </row>
    <row r="18">
      <c r="A18" s="29" t="inlineStr">
        <is>
          <t>Q1 2025</t>
        </is>
      </c>
      <c r="B18" s="16" t="inlineStr">
        <is>
          <t>NT$4.50</t>
        </is>
      </c>
      <c r="C18" s="7" t="inlineStr">
        <is>
          <t>—</t>
        </is>
      </c>
      <c r="D18" s="7" t="inlineStr">
        <is>
          <t>2025-04</t>
        </is>
      </c>
      <c r="E18" s="18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4" customWidth="1" min="3" max="3"/>
    <col width="14" customWidth="1" min="4" max="4"/>
    <col width="18" customWidth="1" min="5" max="5"/>
  </cols>
  <sheetData>
    <row r="1" ht="30" customHeight="1">
      <c r="A1" s="12" t="inlineStr">
        <is>
          <t>TSMC 投資風險評估 | Risk Assessment Matrix</t>
        </is>
      </c>
    </row>
    <row r="3">
      <c r="A3" s="4" t="inlineStr">
        <is>
          <t>主要風險矩陣 (Key Risk Matrix)</t>
        </is>
      </c>
      <c r="B3" s="42" t="n"/>
      <c r="C3" s="42" t="n"/>
      <c r="D3" s="42" t="n"/>
      <c r="E3" s="43" t="n"/>
    </row>
    <row r="4">
      <c r="A4" s="5" t="inlineStr">
        <is>
          <t>風險類別</t>
        </is>
      </c>
      <c r="B4" s="5" t="inlineStr">
        <is>
          <t>風險描述</t>
        </is>
      </c>
      <c r="C4" s="5" t="inlineStr">
        <is>
          <t>影響程度</t>
        </is>
      </c>
      <c r="D4" s="5" t="inlineStr">
        <is>
          <t>發生機率</t>
        </is>
      </c>
      <c r="E4" s="5" t="inlineStr">
        <is>
          <t>風險評級</t>
        </is>
      </c>
    </row>
    <row r="5">
      <c r="A5" s="8" t="inlineStr">
        <is>
          <t>地緣政治風險</t>
        </is>
      </c>
      <c r="B5" s="15" t="inlineStr">
        <is>
          <t>台海緊張局勢、兩岸關係不確定性對生產造成衝擊</t>
        </is>
      </c>
      <c r="C5" s="9" t="inlineStr">
        <is>
          <t>高</t>
        </is>
      </c>
      <c r="D5" s="9" t="inlineStr">
        <is>
          <t>中</t>
        </is>
      </c>
      <c r="E5" s="35" t="inlineStr">
        <is>
          <t>🔴 高</t>
        </is>
      </c>
    </row>
    <row r="6">
      <c r="A6" s="6" t="inlineStr">
        <is>
          <t>出口管制風險</t>
        </is>
      </c>
      <c r="B6" s="18" t="inlineStr">
        <is>
          <t>AI晶片對中國出口限制（NVIDIA案例），影響客戶需求</t>
        </is>
      </c>
      <c r="C6" s="7" t="inlineStr">
        <is>
          <t>高</t>
        </is>
      </c>
      <c r="D6" s="7" t="inlineStr">
        <is>
          <t>高</t>
        </is>
      </c>
      <c r="E6" s="35" t="inlineStr">
        <is>
          <t>🔴 高</t>
        </is>
      </c>
    </row>
    <row r="7">
      <c r="A7" s="8" t="inlineStr">
        <is>
          <t>匯率風險</t>
        </is>
      </c>
      <c r="B7" s="15" t="inlineStr">
        <is>
          <t>新台幣升值壓縮以美元計價之海外獲利</t>
        </is>
      </c>
      <c r="C7" s="9" t="inlineStr">
        <is>
          <t>中</t>
        </is>
      </c>
      <c r="D7" s="9" t="inlineStr">
        <is>
          <t>中</t>
        </is>
      </c>
      <c r="E7" s="36" t="inlineStr">
        <is>
          <t>🟡 中</t>
        </is>
      </c>
    </row>
    <row r="8">
      <c r="A8" s="6" t="inlineStr">
        <is>
          <t>供應鏈風險</t>
        </is>
      </c>
      <c r="B8" s="18" t="inlineStr">
        <is>
          <t>關鍵設備（ASML EUV）與材料依賴程度高</t>
        </is>
      </c>
      <c r="C8" s="7" t="inlineStr">
        <is>
          <t>中</t>
        </is>
      </c>
      <c r="D8" s="7" t="inlineStr">
        <is>
          <t>低</t>
        </is>
      </c>
      <c r="E8" s="36" t="inlineStr">
        <is>
          <t>🟡 中</t>
        </is>
      </c>
    </row>
    <row r="9">
      <c r="A9" s="8" t="inlineStr">
        <is>
          <t>競爭風險</t>
        </is>
      </c>
      <c r="B9" s="15" t="inlineStr">
        <is>
          <t>三星、Intel在先進製程的追趕，爭奪高端客戶</t>
        </is>
      </c>
      <c r="C9" s="9" t="inlineStr">
        <is>
          <t>中</t>
        </is>
      </c>
      <c r="D9" s="9" t="inlineStr">
        <is>
          <t>低</t>
        </is>
      </c>
      <c r="E9" s="36" t="inlineStr">
        <is>
          <t>🟡 中</t>
        </is>
      </c>
    </row>
    <row r="10">
      <c r="A10" s="6" t="inlineStr">
        <is>
          <t>總體經濟風險</t>
        </is>
      </c>
      <c r="B10" s="18" t="inlineStr">
        <is>
          <t>關稅政策不確定性、消費性電子需求疲軟</t>
        </is>
      </c>
      <c r="C10" s="7" t="inlineStr">
        <is>
          <t>中</t>
        </is>
      </c>
      <c r="D10" s="7" t="inlineStr">
        <is>
          <t>中</t>
        </is>
      </c>
      <c r="E10" s="36" t="inlineStr">
        <is>
          <t>🟡 中</t>
        </is>
      </c>
    </row>
    <row r="11">
      <c r="A11" s="8" t="inlineStr">
        <is>
          <t>技術風險</t>
        </is>
      </c>
      <c r="B11" s="15" t="inlineStr">
        <is>
          <t>N2/A16量產良率爬升挑戰，海外廠製程複製困難</t>
        </is>
      </c>
      <c r="C11" s="9" t="inlineStr">
        <is>
          <t>中</t>
        </is>
      </c>
      <c r="D11" s="9" t="inlineStr">
        <is>
          <t>低</t>
        </is>
      </c>
      <c r="E11" s="36" t="inlineStr">
        <is>
          <t>🟡 中</t>
        </is>
      </c>
    </row>
    <row r="12">
      <c r="A12" s="6" t="inlineStr">
        <is>
          <t>監管風險</t>
        </is>
      </c>
      <c r="B12" s="18" t="inlineStr">
        <is>
          <t>美國補貼附帶條件、半導體法案限制</t>
        </is>
      </c>
      <c r="C12" s="7" t="inlineStr">
        <is>
          <t>低</t>
        </is>
      </c>
      <c r="D12" s="7" t="inlineStr">
        <is>
          <t>低</t>
        </is>
      </c>
      <c r="E12" s="37" t="inlineStr">
        <is>
          <t>🟢 低</t>
        </is>
      </c>
    </row>
    <row r="14" ht="8" customHeight="1"/>
    <row r="15">
      <c r="A15" s="4" t="inlineStr">
        <is>
          <t>技術與市場優勢 (Competitive Moat)</t>
        </is>
      </c>
      <c r="B15" s="42" t="n"/>
      <c r="C15" s="42" t="n"/>
      <c r="D15" s="42" t="n"/>
      <c r="E15" s="43" t="n"/>
    </row>
    <row r="16" ht="20" customHeight="1">
      <c r="A16" s="38" t="inlineStr">
        <is>
          <t>1. 技術領先：全球唯一量產3nm的foundry，N2於Q4 2025進入HVM，持續領先競爭對手2-3代</t>
        </is>
      </c>
      <c r="B16" s="42" t="n"/>
      <c r="C16" s="42" t="n"/>
      <c r="D16" s="42" t="n"/>
      <c r="E16" s="43" t="n"/>
    </row>
    <row r="17" ht="20" customHeight="1">
      <c r="A17" s="39" t="inlineStr">
        <is>
          <t>2. 規模優勢：全球晶圓代工市占率約60%，客戶黏著度高（Apple、NVIDIA、AMD、Qualcomm）</t>
        </is>
      </c>
      <c r="B17" s="42" t="n"/>
      <c r="C17" s="42" t="n"/>
      <c r="D17" s="42" t="n"/>
      <c r="E17" s="43" t="n"/>
    </row>
    <row r="18" ht="20" customHeight="1">
      <c r="A18" s="38" t="inlineStr">
        <is>
          <t>3. AI需求催動：AI伺服器、HPC晶片需求爆發，2025年AI加速器佔比達high-teens%</t>
        </is>
      </c>
      <c r="B18" s="42" t="n"/>
      <c r="C18" s="42" t="n"/>
      <c r="D18" s="42" t="n"/>
      <c r="E18" s="43" t="n"/>
    </row>
    <row r="19" ht="20" customHeight="1">
      <c r="A19" s="39" t="inlineStr">
        <is>
          <t>4. 地理分散：Arizona、Japan廠持續擴產，降低地緣政治集中風險</t>
        </is>
      </c>
      <c r="B19" s="42" t="n"/>
      <c r="C19" s="42" t="n"/>
      <c r="D19" s="42" t="n"/>
      <c r="E19" s="43" t="n"/>
    </row>
    <row r="20" ht="20" customHeight="1">
      <c r="A20" s="38" t="inlineStr">
        <is>
          <t>5. 強健財務：ROE 35.4%、自由現金流NT$1兆，資本實力雄厚</t>
        </is>
      </c>
      <c r="B20" s="42" t="n"/>
      <c r="C20" s="42" t="n"/>
      <c r="D20" s="42" t="n"/>
      <c r="E20" s="43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8" customWidth="1" min="4" max="4"/>
    <col width="16" customWidth="1" min="5" max="5"/>
    <col width="40" customWidth="1" min="6" max="6"/>
    <col width="22" customWidth="1" min="7" max="7"/>
  </cols>
  <sheetData>
    <row r="1" ht="30" customHeight="1">
      <c r="A1" s="12" t="inlineStr">
        <is>
          <t>TSMC 每日股價更新記錄 | Daily Price Update Log</t>
        </is>
      </c>
    </row>
    <row r="2" ht="22" customHeight="1">
      <c r="A2" s="40" t="inlineStr">
        <is>
          <t>最後更新：2026-03-11</t>
        </is>
      </c>
    </row>
    <row r="3">
      <c r="A3" s="5" t="inlineStr">
        <is>
          <t>更新日期</t>
        </is>
      </c>
      <c r="B3" s="5" t="inlineStr">
        <is>
          <t>台股收盤價 (TWD)</t>
        </is>
      </c>
      <c r="C3" s="5" t="inlineStr">
        <is>
          <t>漲跌幅 (%)</t>
        </is>
      </c>
      <c r="D3" s="5" t="inlineStr">
        <is>
          <t>NYSE收盤價 (USD)</t>
        </is>
      </c>
      <c r="E3" s="5" t="inlineStr">
        <is>
          <t>成交量 (張)</t>
        </is>
      </c>
      <c r="F3" s="5" t="inlineStr">
        <is>
          <t>當日重要消息</t>
        </is>
      </c>
      <c r="G3" s="5" t="inlineStr">
        <is>
          <t>資料來源</t>
        </is>
      </c>
    </row>
    <row r="4">
      <c r="A4" s="7" t="inlineStr">
        <is>
          <t>2026-03-09</t>
        </is>
      </c>
      <c r="B4" s="7" t="inlineStr">
        <is>
          <t>NT$1,900</t>
        </is>
      </c>
      <c r="C4" s="7" t="inlineStr">
        <is>
          <t>+1.86%</t>
        </is>
      </c>
      <c r="D4" s="7" t="inlineStr">
        <is>
          <t>US$338.89</t>
        </is>
      </c>
      <c r="E4" s="7" t="inlineStr">
        <is>
          <t>—</t>
        </is>
      </c>
      <c r="F4" s="18" t="inlineStr">
        <is>
          <t>初始建立報告，資料來源多方</t>
        </is>
      </c>
      <c r="G4" s="7" t="inlineStr">
        <is>
          <t>Yahoo Finance / CNBC / MarketScreener</t>
        </is>
      </c>
    </row>
    <row r="6" ht="8" customHeight="1"/>
    <row r="7" ht="25" customHeight="1">
      <c r="A7" s="41" t="inlineStr">
        <is>
          <t>💡 每日更新說明：在第4列以下依序新增記錄，或使用排程技能自動更新。欄位C漲跌幅為正數請填綠色、負數填紅色。</t>
        </is>
      </c>
    </row>
    <row r="8">
      <c r="A8" s="7" t="inlineStr">
        <is>
          <t>2026-03-10</t>
        </is>
      </c>
      <c r="B8" s="7" t="inlineStr">
        <is>
          <t>NT$1,890</t>
        </is>
      </c>
      <c r="C8" s="44" t="inlineStr">
        <is>
          <t>0.00%</t>
        </is>
      </c>
      <c r="D8" s="7" t="inlineStr">
        <is>
          <t>US$348.70</t>
        </is>
      </c>
      <c r="E8" s="7" t="inlineStr">
        <is>
          <t>28,542 張</t>
        </is>
      </c>
      <c r="F8" s="18" t="inlineStr">
        <is>
          <t>2月月營收今日公告（待更新）；前SVP涉嫌洩露2nm技術給Intel受調查；NVIDIA GTC 3/16揭露Feynman/A16；Arizona 3nm提前至2027</t>
        </is>
      </c>
      <c r="G8" s="7" t="inlineStr">
        <is>
          <t>Yahoo Finance / TSMC IR</t>
        </is>
      </c>
    </row>
    <row r="9">
      <c r="A9" s="9" t="inlineStr">
        <is>
          <t>2026-03-11</t>
        </is>
      </c>
      <c r="B9" s="9" t="inlineStr">
        <is>
          <t>NT$1,915</t>
        </is>
      </c>
      <c r="C9" s="45" t="inlineStr">
        <is>
          <t>+1.86%</t>
        </is>
      </c>
      <c r="D9" s="9" t="inlineStr">
        <is>
          <t>US$349.49</t>
        </is>
      </c>
      <c r="E9" s="9" t="inlineStr">
        <is>
          <t>39,307 張</t>
        </is>
      </c>
      <c r="F9" s="15" t="inlineStr">
        <is>
          <t>2月月營收年增22.2%，台股受惠反彈+1.86%；NYSE受美伊戰爭風險下跌-2.22%至US$349.49</t>
        </is>
      </c>
      <c r="G9" s="9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2026-03-11T03:39:21Z</dcterms:modified>
</cp:coreProperties>
</file>
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6" autoFilterDateGrouping="1"/>
  </bookViews>
  <sheets>
    <sheet xmlns:r="http://schemas.openxmlformats.org/officeDocument/2006/relationships" name="封面總覽" sheetId="1" state="visible" r:id="rId1"/>
    <sheet xmlns:r="http://schemas.openxmlformats.org/officeDocument/2006/relationships" name="財務摘要" sheetId="2" state="visible" r:id="rId2"/>
    <sheet xmlns:r="http://schemas.openxmlformats.org/officeDocument/2006/relationships" name="營收結構分析" sheetId="3" state="visible" r:id="rId3"/>
    <sheet xmlns:r="http://schemas.openxmlformats.org/officeDocument/2006/relationships" name="2026展望" sheetId="4" state="visible" r:id="rId4"/>
    <sheet xmlns:r="http://schemas.openxmlformats.org/officeDocument/2006/relationships" name="股息記錄" sheetId="5" state="visible" r:id="rId5"/>
    <sheet xmlns:r="http://schemas.openxmlformats.org/officeDocument/2006/relationships" name="風險評估" sheetId="6" state="visible" r:id="rId6"/>
    <sheet xmlns:r="http://schemas.openxmlformats.org/officeDocument/2006/relationships" name="每日更新記錄" sheetId="7" state="visible" r:id="rId7"/>
  </sheets>
  <definedNames/>
  <calcPr calcId="191029" fullCalcOnLoad="1"/>
</workbook>
</file>

<file path=xl/styles.xml><?xml version="1.0" encoding="utf-8"?>
<styleSheet xmlns="http://schemas.openxmlformats.org/spreadsheetml/2006/main">
  <numFmts count="0"/>
  <fonts count="29">
    <font>
      <name val="新細明體"/>
      <family val="2"/>
      <color theme="1"/>
      <sz val="11"/>
      <scheme val="minor"/>
    </font>
    <font>
      <name val="Arial"/>
      <b val="1"/>
      <color rgb="FFFFFFFF"/>
      <sz val="22"/>
    </font>
    <font>
      <name val="Arial"/>
      <color rgb="FFBDD7EE"/>
      <sz val="13"/>
    </font>
    <font>
      <name val="Arial"/>
      <color rgb="FF1F3864"/>
      <sz val="11"/>
    </font>
    <font>
      <name val="Arial"/>
      <b val="1"/>
      <color rgb="FFFFFFFF"/>
      <sz val="11"/>
    </font>
    <font>
      <name val="Arial"/>
      <b val="1"/>
      <color rgb="FFFFFFFF"/>
      <sz val="10"/>
    </font>
    <font>
      <name val="Arial"/>
      <color rgb="FF404040"/>
      <sz val="10"/>
    </font>
    <font>
      <name val="Arial"/>
      <color rgb="FF000000"/>
      <sz val="10"/>
    </font>
    <font>
      <name val="Arial"/>
      <i val="1"/>
      <color rgb="FF808080"/>
      <sz val="9"/>
    </font>
    <font>
      <name val="Arial"/>
      <i val="1"/>
      <color rgb="FFFF0000"/>
      <sz val="9"/>
    </font>
    <font>
      <name val="Arial"/>
      <b val="1"/>
      <color rgb="FFFFFFFF"/>
      <sz val="14"/>
    </font>
    <font>
      <name val="Arial"/>
      <b val="1"/>
      <color rgb="FF1F3864"/>
      <sz val="10"/>
    </font>
    <font>
      <name val="Arial"/>
      <color rgb="FF00B050"/>
      <sz val="10"/>
    </font>
    <font>
      <name val="Arial"/>
      <color rgb="FFFF0000"/>
      <sz val="10"/>
    </font>
    <font>
      <name val="Arial"/>
      <color rgb="FF1F3864"/>
      <sz val="10"/>
    </font>
    <font>
      <name val="Arial"/>
      <b val="1"/>
      <color rgb="FF000000"/>
      <sz val="10"/>
    </font>
    <font>
      <name val="Arial"/>
      <b val="1"/>
      <sz val="10"/>
    </font>
    <font>
      <name val="Arial"/>
      <sz val="10"/>
    </font>
    <font>
      <name val="Arial"/>
      <b val="1"/>
      <color rgb="FF1F3864"/>
      <sz val="12"/>
    </font>
    <font>
      <name val="Arial"/>
      <i val="1"/>
      <color rgb="FF404040"/>
      <sz val="10"/>
    </font>
    <font>
      <name val="Arial"/>
      <b val="1"/>
      <color rgb="FF888888"/>
      <sz val="10"/>
    </font>
    <font>
      <name val="Arial"/>
      <b val="1"/>
      <color rgb="FF00B050"/>
      <sz val="10"/>
    </font>
    <font>
      <name val="Arial"/>
      <b val="1"/>
      <color rgb="FFFF0000"/>
      <sz val="10"/>
    </font>
    <font>
      <name val="新細明體"/>
      <charset val="136"/>
      <family val="3"/>
      <sz val="9"/>
      <scheme val="minor"/>
    </font>
    <font>
      <name val="Arial"/>
      <color rgb="00000000"/>
      <sz val="10"/>
    </font>
    <font>
      <name val="Arial"/>
      <b val="1"/>
      <color rgb="0000B050"/>
      <sz val="10"/>
    </font>
    <font>
      <name val="Arial"/>
      <b val="1"/>
      <color rgb="00FF0000"/>
      <sz val="10"/>
    </font>
    <font>
      <name val="Arial"/>
      <b val="1"/>
      <color rgb="00808080"/>
      <sz val="10"/>
    </font>
    <font>
      <name val="Arial"/>
      <b val="1"/>
      <color rgb="00000000"/>
      <sz val="10"/>
    </font>
  </fonts>
  <fills count="13">
    <fill>
      <patternFill/>
    </fill>
    <fill>
      <patternFill patternType="gray125"/>
    </fill>
    <fill>
      <patternFill patternType="solid">
        <fgColor rgb="FF1F3864"/>
      </patternFill>
    </fill>
    <fill>
      <patternFill patternType="solid">
        <fgColor rgb="FFBDD7EE"/>
      </patternFill>
    </fill>
    <fill>
      <patternFill patternType="solid">
        <fgColor rgb="FF2E75B6"/>
      </patternFill>
    </fill>
    <fill>
      <patternFill patternType="solid">
        <fgColor rgb="FFE9F2FB"/>
      </patternFill>
    </fill>
    <fill>
      <patternFill patternType="solid">
        <fgColor rgb="FFFFFFFF"/>
      </patternFill>
    </fill>
    <fill>
      <patternFill patternType="solid">
        <fgColor rgb="FFFFF2CC"/>
      </patternFill>
    </fill>
    <fill>
      <patternFill patternType="solid">
        <fgColor rgb="FFFFD7D7"/>
      </patternFill>
    </fill>
    <fill>
      <patternFill patternType="solid">
        <fgColor rgb="FFD7F0D7"/>
      </patternFill>
    </fill>
    <fill>
      <patternFill patternType="solid">
        <fgColor rgb="FFDEEAF1"/>
      </patternFill>
    </fill>
    <fill>
      <patternFill patternType="solid">
        <fgColor rgb="00FFFFFF"/>
      </patternFill>
    </fill>
    <fill>
      <patternFill patternType="solid">
        <fgColor rgb="00E9F2FB"/>
      </patternFill>
    </fill>
  </fills>
  <borders count="7">
    <border>
      <left/>
      <right/>
      <top/>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auto="1"/>
      </top>
      <bottom/>
      <diagonal/>
    </border>
    <border>
      <left/>
      <right style="thin">
        <color auto="1"/>
      </right>
      <top style="thin">
        <color auto="1"/>
      </top>
      <bottom/>
      <diagonal/>
    </border>
    <border>
      <left style="thin"/>
      <right style="thin"/>
      <top style="thin"/>
      <bottom style="thin"/>
    </border>
  </borders>
  <cellStyleXfs count="1">
    <xf numFmtId="0" fontId="0" fillId="0" borderId="0"/>
  </cellStyleXfs>
  <cellXfs count="62">
    <xf numFmtId="0" fontId="0" fillId="0" borderId="0" pivotButton="0" quotePrefix="0" xfId="0"/>
    <xf numFmtId="0" fontId="5" fillId="4" borderId="1" applyAlignment="1" pivotButton="0" quotePrefix="0" xfId="0">
      <alignment horizontal="center" vertical="center" wrapText="1"/>
    </xf>
    <xf numFmtId="0" fontId="6" fillId="5" borderId="1" applyAlignment="1" pivotButton="0" quotePrefix="0" xfId="0">
      <alignment horizontal="left" vertical="center"/>
    </xf>
    <xf numFmtId="0" fontId="7" fillId="5" borderId="1" applyAlignment="1" pivotButton="0" quotePrefix="0" xfId="0">
      <alignment horizontal="center" vertical="center"/>
    </xf>
    <xf numFmtId="0" fontId="6" fillId="6" borderId="1" applyAlignment="1" pivotButton="0" quotePrefix="0" xfId="0">
      <alignment horizontal="left" vertical="center"/>
    </xf>
    <xf numFmtId="0" fontId="7" fillId="6" borderId="1" applyAlignment="1" pivotButton="0" quotePrefix="0" xfId="0">
      <alignment horizontal="center" vertical="center"/>
    </xf>
    <xf numFmtId="0" fontId="11" fillId="6" borderId="1" applyAlignment="1" pivotButton="0" quotePrefix="0" xfId="0">
      <alignment horizontal="center" vertical="center"/>
    </xf>
    <xf numFmtId="0" fontId="12" fillId="6" borderId="1" applyAlignment="1" pivotButton="0" quotePrefix="0" xfId="0">
      <alignment horizontal="center" vertical="center"/>
    </xf>
    <xf numFmtId="0" fontId="7" fillId="6" borderId="1" applyAlignment="1" pivotButton="0" quotePrefix="0" xfId="0">
      <alignment horizontal="left" vertical="center"/>
    </xf>
    <xf numFmtId="0" fontId="11" fillId="5" borderId="1" applyAlignment="1" pivotButton="0" quotePrefix="0" xfId="0">
      <alignment horizontal="center" vertical="center"/>
    </xf>
    <xf numFmtId="0" fontId="12" fillId="5" borderId="1" applyAlignment="1" pivotButton="0" quotePrefix="0" xfId="0">
      <alignment horizontal="center" vertical="center"/>
    </xf>
    <xf numFmtId="0" fontId="7" fillId="5" borderId="1" applyAlignment="1" pivotButton="0" quotePrefix="0" xfId="0">
      <alignment horizontal="left" vertical="center"/>
    </xf>
    <xf numFmtId="0" fontId="13" fillId="5" borderId="1" applyAlignment="1" pivotButton="0" quotePrefix="0" xfId="0">
      <alignment horizontal="center" vertical="center"/>
    </xf>
    <xf numFmtId="0" fontId="13" fillId="6" borderId="1" applyAlignment="1" pivotButton="0" quotePrefix="0" xfId="0">
      <alignment horizontal="center" vertical="center"/>
    </xf>
    <xf numFmtId="0" fontId="14" fillId="5" borderId="1" applyAlignment="1" pivotButton="0" quotePrefix="0" xfId="0">
      <alignment horizontal="center" vertical="center"/>
    </xf>
    <xf numFmtId="0" fontId="14" fillId="6" borderId="1" applyAlignment="1" pivotButton="0" quotePrefix="0" xfId="0">
      <alignment horizontal="center" vertical="center"/>
    </xf>
    <xf numFmtId="0" fontId="6" fillId="3" borderId="1" applyAlignment="1" pivotButton="0" quotePrefix="0" xfId="0">
      <alignment horizontal="left" vertical="center"/>
    </xf>
    <xf numFmtId="0" fontId="11" fillId="3" borderId="1" applyAlignment="1" pivotButton="0" quotePrefix="0" xfId="0">
      <alignment horizontal="center" vertical="center"/>
    </xf>
    <xf numFmtId="0" fontId="7" fillId="3" borderId="1" applyAlignment="1" pivotButton="0" quotePrefix="0" xfId="0">
      <alignment horizontal="center" vertical="center"/>
    </xf>
    <xf numFmtId="0" fontId="7" fillId="3" borderId="1" applyAlignment="1" pivotButton="0" quotePrefix="0" xfId="0">
      <alignment horizontal="left" vertical="center"/>
    </xf>
    <xf numFmtId="0" fontId="15" fillId="6" borderId="1" applyAlignment="1" pivotButton="0" quotePrefix="0" xfId="0">
      <alignment horizontal="center" vertical="center"/>
    </xf>
    <xf numFmtId="0" fontId="15" fillId="5" borderId="1" applyAlignment="1" pivotButton="0" quotePrefix="0" xfId="0">
      <alignment horizontal="center" vertical="center"/>
    </xf>
    <xf numFmtId="0" fontId="15" fillId="7" borderId="1" applyAlignment="1" pivotButton="0" quotePrefix="0" xfId="0">
      <alignment horizontal="center" vertical="center"/>
    </xf>
    <xf numFmtId="0" fontId="11" fillId="7" borderId="1" applyAlignment="1" pivotButton="0" quotePrefix="0" xfId="0">
      <alignment horizontal="center" vertical="center"/>
    </xf>
    <xf numFmtId="0" fontId="12" fillId="7" borderId="1" applyAlignment="1" pivotButton="0" quotePrefix="0" xfId="0">
      <alignment horizontal="center" vertical="center"/>
    </xf>
    <xf numFmtId="0" fontId="7" fillId="7" borderId="1" applyAlignment="1" pivotButton="0" quotePrefix="0" xfId="0">
      <alignment horizontal="center" vertical="center"/>
    </xf>
    <xf numFmtId="0" fontId="7" fillId="7" borderId="1" applyAlignment="1" pivotButton="0" quotePrefix="0" xfId="0">
      <alignment horizontal="left" vertical="center"/>
    </xf>
    <xf numFmtId="0" fontId="16" fillId="8" borderId="1" applyAlignment="1" pivotButton="0" quotePrefix="0" xfId="0">
      <alignment horizontal="center" vertical="center"/>
    </xf>
    <xf numFmtId="0" fontId="16" fillId="7" borderId="1" applyAlignment="1" pivotButton="0" quotePrefix="0" xfId="0">
      <alignment horizontal="center" vertical="center"/>
    </xf>
    <xf numFmtId="0" fontId="16" fillId="9" borderId="1" applyAlignment="1" pivotButton="0" quotePrefix="0" xfId="0">
      <alignment horizontal="center" vertical="center"/>
    </xf>
    <xf numFmtId="0" fontId="20" fillId="5" borderId="1" applyAlignment="1" pivotButton="0" quotePrefix="0" xfId="0">
      <alignment horizontal="center" vertical="center"/>
    </xf>
    <xf numFmtId="0" fontId="21" fillId="6" borderId="1" applyAlignment="1" pivotButton="0" quotePrefix="0" xfId="0">
      <alignment horizontal="center" vertical="center"/>
    </xf>
    <xf numFmtId="0" fontId="21" fillId="5" borderId="1" applyAlignment="1" pivotButton="0" quotePrefix="0" xfId="0">
      <alignment horizontal="center" vertical="center"/>
    </xf>
    <xf numFmtId="0" fontId="22" fillId="6" borderId="1" applyAlignment="1" pivotButton="0" quotePrefix="0" xfId="0">
      <alignment horizontal="center" vertical="center"/>
    </xf>
    <xf numFmtId="0" fontId="22" fillId="5" borderId="1" applyAlignment="1" pivotButton="0" quotePrefix="0" xfId="0">
      <alignment horizontal="center" vertical="center"/>
    </xf>
    <xf numFmtId="0" fontId="1" fillId="2" borderId="0" applyAlignment="1" pivotButton="0" quotePrefix="0" xfId="0">
      <alignment horizontal="center" vertical="center"/>
    </xf>
    <xf numFmtId="0" fontId="0" fillId="0" borderId="0" pivotButton="0" quotePrefix="0" xfId="0"/>
    <xf numFmtId="0" fontId="8" fillId="0" borderId="0" applyAlignment="1" pivotButton="0" quotePrefix="0" xfId="0">
      <alignment horizontal="left"/>
    </xf>
    <xf numFmtId="0" fontId="4" fillId="4" borderId="1" applyAlignment="1" pivotButton="0" quotePrefix="0" xfId="0">
      <alignment horizontal="center" vertical="center" wrapText="1"/>
    </xf>
    <xf numFmtId="0" fontId="0" fillId="0" borderId="2" pivotButton="0" quotePrefix="0" xfId="0"/>
    <xf numFmtId="0" fontId="0" fillId="0" borderId="3" pivotButton="0" quotePrefix="0" xfId="0"/>
    <xf numFmtId="0" fontId="3" fillId="3" borderId="0" applyAlignment="1" pivotButton="0" quotePrefix="0" xfId="0">
      <alignment horizontal="center" vertical="center"/>
    </xf>
    <xf numFmtId="0" fontId="2" fillId="2" borderId="0" applyAlignment="1" pivotButton="0" quotePrefix="0" xfId="0">
      <alignment horizontal="center" vertical="center"/>
    </xf>
    <xf numFmtId="0" fontId="9" fillId="7" borderId="0" applyAlignment="1" pivotButton="0" quotePrefix="0" xfId="0">
      <alignment horizontal="left" wrapText="1"/>
    </xf>
    <xf numFmtId="0" fontId="10" fillId="2" borderId="0" applyAlignment="1" pivotButton="0" quotePrefix="0" xfId="0">
      <alignment horizontal="center" vertical="center"/>
    </xf>
    <xf numFmtId="0" fontId="8" fillId="0" borderId="0" pivotButton="0" quotePrefix="0" xfId="0"/>
    <xf numFmtId="0" fontId="17" fillId="5" borderId="1" applyAlignment="1" pivotButton="0" quotePrefix="0" xfId="0">
      <alignment horizontal="left" vertical="center" wrapText="1"/>
    </xf>
    <xf numFmtId="0" fontId="17" fillId="6" borderId="1" applyAlignment="1" pivotButton="0" quotePrefix="0" xfId="0">
      <alignment horizontal="left" vertical="center" wrapText="1"/>
    </xf>
    <xf numFmtId="0" fontId="18" fillId="7" borderId="0" applyAlignment="1" pivotButton="0" quotePrefix="0" xfId="0">
      <alignment horizontal="center" vertical="center"/>
    </xf>
    <xf numFmtId="0" fontId="19" fillId="10" borderId="0" applyAlignment="1" pivotButton="0" quotePrefix="0" xfId="0">
      <alignment horizontal="left" vertical="center" wrapText="1"/>
    </xf>
    <xf numFmtId="0" fontId="24" fillId="11" borderId="6" applyAlignment="1" pivotButton="0" quotePrefix="0" xfId="0">
      <alignment horizontal="center" vertical="center"/>
    </xf>
    <xf numFmtId="0" fontId="25" fillId="11" borderId="6" applyAlignment="1" pivotButton="0" quotePrefix="0" xfId="0">
      <alignment horizontal="center" vertical="center"/>
    </xf>
    <xf numFmtId="0" fontId="24" fillId="11" borderId="6" applyAlignment="1" pivotButton="0" quotePrefix="0" xfId="0">
      <alignment horizontal="left" vertical="center"/>
    </xf>
    <xf numFmtId="0" fontId="24" fillId="12" borderId="6" applyAlignment="1" pivotButton="0" quotePrefix="0" xfId="0">
      <alignment horizontal="center" vertical="center"/>
    </xf>
    <xf numFmtId="0" fontId="25" fillId="12" borderId="6" applyAlignment="1" pivotButton="0" quotePrefix="0" xfId="0">
      <alignment horizontal="center" vertical="center"/>
    </xf>
    <xf numFmtId="0" fontId="24" fillId="12" borderId="6" applyAlignment="1" pivotButton="0" quotePrefix="0" xfId="0">
      <alignment horizontal="left" vertical="center"/>
    </xf>
    <xf numFmtId="0" fontId="26" fillId="12" borderId="6" applyAlignment="1" pivotButton="0" quotePrefix="0" xfId="0">
      <alignment horizontal="center" vertical="center"/>
    </xf>
    <xf numFmtId="0" fontId="26" fillId="11" borderId="6" applyAlignment="1" pivotButton="0" quotePrefix="0" xfId="0">
      <alignment horizontal="center" vertical="center"/>
    </xf>
    <xf numFmtId="0" fontId="27" fillId="11" borderId="6" applyAlignment="1" pivotButton="0" quotePrefix="0" xfId="0">
      <alignment horizontal="center" vertical="center"/>
    </xf>
    <xf numFmtId="0" fontId="27" fillId="12" borderId="6" applyAlignment="1" pivotButton="0" quotePrefix="0" xfId="0">
      <alignment horizontal="center" vertical="center"/>
    </xf>
    <xf numFmtId="0" fontId="17" fillId="11" borderId="6" applyAlignment="1" pivotButton="0" quotePrefix="0" xfId="0">
      <alignment horizontal="left" vertical="center"/>
    </xf>
    <xf numFmtId="0" fontId="28" fillId="11" borderId="6" applyAlignment="1" pivotButton="0" quotePrefix="0" xfId="0">
      <alignment horizontal="center" vertical="center"/>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9"/>
  <sheetViews>
    <sheetView workbookViewId="0">
      <pane ySplit="6" topLeftCell="A7" activePane="bottomLeft" state="frozen"/>
      <selection pane="bottomLeft" activeCell="A1" sqref="A1:D1"/>
    </sheetView>
  </sheetViews>
  <sheetFormatPr baseColWidth="8" defaultRowHeight="15"/>
  <cols>
    <col width="28" customWidth="1" style="36" min="1" max="1"/>
    <col width="22" customWidth="1" style="36" min="2" max="4"/>
  </cols>
  <sheetData>
    <row r="1" ht="26.65" customHeight="1" s="36">
      <c r="A1" s="35" t="inlineStr">
        <is>
          <t>TSMC 台積電 (2330) 股市分析報告</t>
        </is>
      </c>
    </row>
    <row r="2" ht="60" customHeight="1" s="36">
      <c r="A2" s="42" t="inlineStr">
        <is>
          <t>Taiwan Semiconductor Manufacturing Company Limited</t>
        </is>
      </c>
    </row>
    <row r="3" ht="30" customHeight="1" s="36">
      <c r="A3" s="41" t="inlineStr">
        <is>
          <t>報告更新日期：2026-09-04</t>
        </is>
      </c>
    </row>
    <row r="4" ht="20" customHeight="1" s="36"/>
    <row r="5" ht="5" customHeight="1" s="36"/>
    <row r="6">
      <c r="A6" s="38" t="inlineStr">
        <is>
          <t>股票基本資訊</t>
        </is>
      </c>
      <c r="B6" s="39" t="n"/>
      <c r="C6" s="39" t="n"/>
      <c r="D6" s="40" t="n"/>
    </row>
    <row r="7">
      <c r="A7" s="1" t="inlineStr">
        <is>
          <t>項目</t>
        </is>
      </c>
      <c r="B7" s="1" t="inlineStr">
        <is>
          <t>台股 (2330.TW)</t>
        </is>
      </c>
      <c r="C7" s="1" t="inlineStr">
        <is>
          <t>NYSE ADR (TSM)</t>
        </is>
      </c>
      <c r="D7" s="1" t="inlineStr">
        <is>
          <t>備註</t>
        </is>
      </c>
    </row>
    <row r="8">
      <c r="A8" s="2" t="inlineStr">
        <is>
          <t>當前股價</t>
        </is>
      </c>
      <c r="B8" s="3" t="inlineStr">
        <is>
          <t>NT$1,900</t>
        </is>
      </c>
      <c r="C8" s="3" t="inlineStr">
        <is>
          <t>US$338.89</t>
        </is>
      </c>
      <c r="D8" s="3" t="inlineStr">
        <is>
          <t>2026-03-08收盤</t>
        </is>
      </c>
    </row>
    <row r="9">
      <c r="A9" s="4" t="inlineStr">
        <is>
          <t>52週最高</t>
        </is>
      </c>
      <c r="B9" s="5" t="inlineStr">
        <is>
          <t>NT$2,025</t>
        </is>
      </c>
      <c r="C9" s="5" t="inlineStr">
        <is>
          <t>US$426.42</t>
        </is>
      </c>
      <c r="D9" s="5" t="inlineStr">
        <is>
          <t>2026-02-25</t>
        </is>
      </c>
    </row>
    <row r="10">
      <c r="A10" s="2" t="inlineStr">
        <is>
          <t>52週最低</t>
        </is>
      </c>
      <c r="B10" s="3" t="inlineStr">
        <is>
          <t>NT$1,015</t>
        </is>
      </c>
      <c r="C10" s="3" t="inlineStr">
        <is>
          <t>US$133.15</t>
        </is>
      </c>
      <c r="D10" s="3" t="inlineStr">
        <is>
          <t>—</t>
        </is>
      </c>
    </row>
    <row r="11">
      <c r="A11" s="4" t="inlineStr">
        <is>
          <t>市值</t>
        </is>
      </c>
      <c r="B11" s="5" t="inlineStr">
        <is>
          <t>NT$49.27 兆</t>
        </is>
      </c>
      <c r="C11" s="5" t="inlineStr">
        <is>
          <t>—</t>
        </is>
      </c>
      <c r="D11" s="5" t="inlineStr">
        <is>
          <t>—</t>
        </is>
      </c>
    </row>
    <row r="12">
      <c r="A12" s="2" t="inlineStr">
        <is>
          <t>Beta值</t>
        </is>
      </c>
      <c r="B12" s="3" t="inlineStr">
        <is>
          <t>1.16</t>
        </is>
      </c>
      <c r="C12" s="3" t="inlineStr">
        <is>
          <t>1.16</t>
        </is>
      </c>
      <c r="D12" s="3" t="inlineStr">
        <is>
          <t>市場敏感度</t>
        </is>
      </c>
    </row>
    <row r="13">
      <c r="A13" s="4" t="inlineStr">
        <is>
          <t>股價波動率</t>
        </is>
      </c>
      <c r="B13" s="5" t="inlineStr">
        <is>
          <t>1.06%</t>
        </is>
      </c>
      <c r="C13" s="5" t="inlineStr">
        <is>
          <t>1.06%</t>
        </is>
      </c>
      <c r="D13" s="5" t="inlineStr">
        <is>
          <t>年化</t>
        </is>
      </c>
    </row>
    <row r="14">
      <c r="A14" s="2" t="inlineStr">
        <is>
          <t>下次除息日</t>
        </is>
      </c>
      <c r="B14" s="3" t="inlineStr">
        <is>
          <t>2026-03-17</t>
        </is>
      </c>
      <c r="C14" s="3" t="inlineStr">
        <is>
          <t>2026-03-17</t>
        </is>
      </c>
      <c r="D14" s="3" t="inlineStr">
        <is>
          <t>NT$6.00/股</t>
        </is>
      </c>
    </row>
    <row r="15">
      <c r="A15" s="4" t="inlineStr">
        <is>
          <t>下次財報日</t>
        </is>
      </c>
      <c r="B15" s="5" t="inlineStr">
        <is>
          <t>2026-04-16</t>
        </is>
      </c>
      <c r="C15" s="5" t="inlineStr">
        <is>
          <t>2026-04-16</t>
        </is>
      </c>
      <c r="D15" s="5" t="inlineStr">
        <is>
          <t>Q1 2026</t>
        </is>
      </c>
    </row>
    <row r="17" ht="8" customHeight="1" s="36"/>
    <row r="18">
      <c r="A18" s="37" t="inlineStr">
        <is>
          <t>Source: Yahoo Finance, CNBC, MarketScreener, 2026-03-09</t>
        </is>
      </c>
    </row>
    <row r="19" ht="25.05" customHeight="1" s="36">
      <c r="A19" s="43" t="inlineStr">
        <is>
          <t>⚠ 免責聲明：本報告僅供參考，不構成任何投資建議。投資有風險，請自行評估並諮詢專業顧問。</t>
        </is>
      </c>
    </row>
  </sheetData>
  <mergeCells count="6">
    <mergeCell ref="A1:D1"/>
    <mergeCell ref="A18:D18"/>
    <mergeCell ref="A6:D6"/>
    <mergeCell ref="A3:D3"/>
    <mergeCell ref="A19:D19"/>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workbookViewId="0">
      <pane ySplit="4" topLeftCell="A5" activePane="bottomLeft" state="frozen"/>
      <selection pane="bottomLeft" activeCell="A1" sqref="A1:F1"/>
    </sheetView>
  </sheetViews>
  <sheetFormatPr baseColWidth="8" defaultRowHeight="15"/>
  <cols>
    <col width="30" customWidth="1" style="36" min="1" max="1"/>
    <col width="18" customWidth="1" style="36" min="2" max="5"/>
    <col width="22" customWidth="1" style="36" min="6" max="6"/>
  </cols>
  <sheetData>
    <row r="1" ht="30" customHeight="1" s="36">
      <c r="A1" s="44" t="inlineStr">
        <is>
          <t>TSMC 財務摘要 | Financial Summary</t>
        </is>
      </c>
    </row>
    <row r="3">
      <c r="A3" s="38" t="inlineStr">
        <is>
          <t>季度財務數據 (Quarterly P&amp;L)</t>
        </is>
      </c>
      <c r="B3" s="39" t="n"/>
      <c r="C3" s="39" t="n"/>
      <c r="D3" s="39" t="n"/>
      <c r="E3" s="39" t="n"/>
      <c r="F3" s="40" t="n"/>
    </row>
    <row r="4">
      <c r="A4" s="1" t="inlineStr">
        <is>
          <t>財務指標</t>
        </is>
      </c>
      <c r="B4" s="1" t="inlineStr">
        <is>
          <t>Q2 2026</t>
        </is>
      </c>
      <c r="C4" s="1" t="inlineStr">
        <is>
          <t>Q1 2026</t>
        </is>
      </c>
      <c r="D4" s="1" t="inlineStr">
        <is>
          <t>Q2 2025</t>
        </is>
      </c>
      <c r="E4" s="1" t="inlineStr">
        <is>
          <t>YoY變化</t>
        </is>
      </c>
      <c r="F4" s="1" t="inlineStr">
        <is>
          <t>備註</t>
        </is>
      </c>
    </row>
    <row r="5">
      <c r="A5" s="4" t="inlineStr">
        <is>
          <t>合併營收 (NT$ B)</t>
        </is>
      </c>
      <c r="B5" s="6" t="inlineStr">
        <is>
          <t>1,270.38</t>
        </is>
      </c>
      <c r="C5" s="5" t="inlineStr">
        <is>
          <t>1,133.99</t>
        </is>
      </c>
      <c r="D5" s="5" t="inlineStr">
        <is>
          <t>~934（回推）</t>
        </is>
      </c>
      <c r="E5" s="7" t="inlineStr">
        <is>
          <t>+33.7% YoY (USD)</t>
        </is>
      </c>
      <c r="F5" s="8" t="inlineStr">
        <is>
          <t>Source: TSMC PR 2026-07-16, USD $40.20B、+12.0% QoQ、觸及指引上緣</t>
        </is>
      </c>
    </row>
    <row r="6">
      <c r="A6" s="2" t="inlineStr">
        <is>
          <t>淨利 (NT$ B)</t>
        </is>
      </c>
      <c r="B6" s="9" t="inlineStr">
        <is>
          <t>~706（估）</t>
        </is>
      </c>
      <c r="C6" s="3" t="inlineStr">
        <is>
          <t>572.5</t>
        </is>
      </c>
      <c r="D6" s="3" t="inlineStr">
        <is>
          <t>~398（回推）</t>
        </is>
      </c>
      <c r="E6" s="10" t="inlineStr">
        <is>
          <t>+77.4% YoY</t>
        </is>
      </c>
      <c r="F6" s="11" t="inlineStr">
        <is>
          <t>Source: TSMC PR 2026-07-16, 淨利率 55.6%</t>
        </is>
      </c>
    </row>
    <row r="7">
      <c r="A7" s="4" t="inlineStr">
        <is>
          <t>每股稀釋 EPS (NT$)</t>
        </is>
      </c>
      <c r="B7" s="6" t="inlineStr">
        <is>
          <t>27.25</t>
        </is>
      </c>
      <c r="C7" s="5" t="inlineStr">
        <is>
          <t>~22.08（估）</t>
        </is>
      </c>
      <c r="D7" s="5" t="inlineStr">
        <is>
          <t>15.36（由YoY回推）</t>
        </is>
      </c>
      <c r="E7" s="7" t="inlineStr">
        <is>
          <t>+77.4% YoY</t>
        </is>
      </c>
      <c r="F7" s="8" t="inlineStr">
        <is>
          <t>Source: TSMC PR 2026-07-16, US$4.31/ADR、超共識~+9.4%</t>
        </is>
      </c>
    </row>
    <row r="8">
      <c r="A8" s="2" t="inlineStr">
        <is>
          <t>毛利率</t>
        </is>
      </c>
      <c r="B8" s="9" t="inlineStr">
        <is>
          <t>67.7%</t>
        </is>
      </c>
      <c r="C8" s="3" t="inlineStr">
        <is>
          <t>66.2%</t>
        </is>
      </c>
      <c r="D8" s="3" t="inlineStr">
        <is>
          <t>58.6%【請確認】</t>
        </is>
      </c>
      <c r="E8" s="10" t="inlineStr">
        <is>
          <t>+9.1pp YoY（估）</t>
        </is>
      </c>
      <c r="F8" s="11" t="inlineStr">
        <is>
          <t>Source: TSMC Earnings Q2 2026、超出指引 65.5-67.5% 上緣</t>
        </is>
      </c>
    </row>
    <row r="9">
      <c r="A9" s="4" t="inlineStr">
        <is>
          <t>營業利益率</t>
        </is>
      </c>
      <c r="B9" s="6" t="inlineStr">
        <is>
          <t>60.3%</t>
        </is>
      </c>
      <c r="C9" s="5" t="inlineStr">
        <is>
          <t>~58%（估）</t>
        </is>
      </c>
      <c r="D9" s="5" t="inlineStr">
        <is>
          <t>【請確認】</t>
        </is>
      </c>
      <c r="E9" s="7" t="inlineStr">
        <is>
          <t>—</t>
        </is>
      </c>
      <c r="F9" s="8" t="inlineStr">
        <is>
          <t>Source: TSMC Earnings Q2 2026</t>
        </is>
      </c>
    </row>
    <row r="10">
      <c r="A10" s="2" t="inlineStr">
        <is>
          <t>ROE</t>
        </is>
      </c>
      <c r="B10" s="9" t="inlineStr">
        <is>
          <t>—（待官方季報）</t>
        </is>
      </c>
      <c r="C10" s="3" t="inlineStr">
        <is>
          <t>~40%（估）</t>
        </is>
      </c>
      <c r="D10" s="3" t="inlineStr">
        <is>
          <t>—</t>
        </is>
      </c>
      <c r="E10" s="10" t="inlineStr">
        <is>
          <t>—</t>
        </is>
      </c>
      <c r="F10" s="11" t="inlineStr">
        <is>
          <t>Q3 指引營收 $44.6-45.8B、毛利率 65-67%；全年上修至 &gt;40%、CapEx $60-64B、股利 NT$24/股(+33%)</t>
        </is>
      </c>
    </row>
    <row r="12" ht="8" customHeight="1" s="36"/>
    <row r="13">
      <c r="A13" s="38" t="inlineStr">
        <is>
          <t>全年財務數據 (Full-Year 2025 vs 2024)</t>
        </is>
      </c>
      <c r="B13" s="39" t="n"/>
      <c r="C13" s="39" t="n"/>
      <c r="D13" s="39" t="n"/>
      <c r="E13" s="39" t="n"/>
      <c r="F13" s="40" t="n"/>
    </row>
    <row r="14">
      <c r="A14" s="1" t="inlineStr">
        <is>
          <t>財務指標</t>
        </is>
      </c>
      <c r="B14" s="1" t="inlineStr">
        <is>
          <t>FY 2025</t>
        </is>
      </c>
      <c r="C14" s="1" t="inlineStr">
        <is>
          <t>FY 2024</t>
        </is>
      </c>
      <c r="D14" s="1" t="inlineStr">
        <is>
          <t>YoY變化 (%)</t>
        </is>
      </c>
      <c r="E14" s="1" t="inlineStr">
        <is>
          <t>YoY變化 (pp)</t>
        </is>
      </c>
      <c r="F14" s="1" t="inlineStr">
        <is>
          <t>備註</t>
        </is>
      </c>
    </row>
    <row r="15">
      <c r="A15" s="4" t="inlineStr">
        <is>
          <t>合併營收 (NT$ 兆)</t>
        </is>
      </c>
      <c r="B15" s="6" t="inlineStr">
        <is>
          <t>3.8</t>
        </is>
      </c>
      <c r="C15" s="5" t="inlineStr">
        <is>
          <t>2.89</t>
        </is>
      </c>
      <c r="D15" s="7" t="inlineStr">
        <is>
          <t>+31.6%</t>
        </is>
      </c>
      <c r="E15" s="7" t="inlineStr">
        <is>
          <t>—</t>
        </is>
      </c>
      <c r="F15" s="8" t="inlineStr">
        <is>
          <t>Source: TSMC Annual Results 2025</t>
        </is>
      </c>
    </row>
    <row r="16">
      <c r="A16" s="2" t="inlineStr">
        <is>
          <t>合併營收 (USD B)</t>
        </is>
      </c>
      <c r="B16" s="9" t="inlineStr">
        <is>
          <t>122</t>
        </is>
      </c>
      <c r="C16" s="3" t="inlineStr">
        <is>
          <t>89.5</t>
        </is>
      </c>
      <c r="D16" s="10" t="inlineStr">
        <is>
          <t>+36.4%</t>
        </is>
      </c>
      <c r="E16" s="10" t="inlineStr">
        <is>
          <t>—</t>
        </is>
      </c>
      <c r="F16" s="11" t="inlineStr">
        <is>
          <t>Source: TSMC Annual Results 2025</t>
        </is>
      </c>
    </row>
    <row r="17">
      <c r="A17" s="4" t="inlineStr">
        <is>
          <t>全年毛利率</t>
        </is>
      </c>
      <c r="B17" s="6" t="inlineStr">
        <is>
          <t>59.9%</t>
        </is>
      </c>
      <c r="C17" s="5" t="inlineStr">
        <is>
          <t>53.0%</t>
        </is>
      </c>
      <c r="D17" s="7" t="inlineStr">
        <is>
          <t>+3.8pp</t>
        </is>
      </c>
      <c r="E17" s="7" t="inlineStr">
        <is>
          <t>+3.8</t>
        </is>
      </c>
      <c r="F17" s="8" t="inlineStr">
        <is>
          <t>Source: TSMC Annual Results 2025</t>
        </is>
      </c>
    </row>
    <row r="18">
      <c r="A18" s="2" t="inlineStr">
        <is>
          <t>全年營業利益率</t>
        </is>
      </c>
      <c r="B18" s="9" t="inlineStr">
        <is>
          <t>50.8%</t>
        </is>
      </c>
      <c r="C18" s="3" t="inlineStr">
        <is>
          <t>42.6%</t>
        </is>
      </c>
      <c r="D18" s="10" t="inlineStr">
        <is>
          <t>+5.1pp</t>
        </is>
      </c>
      <c r="E18" s="10" t="inlineStr">
        <is>
          <t>+5.1</t>
        </is>
      </c>
      <c r="F18" s="11" t="inlineStr">
        <is>
          <t>Source: TSMC Annual Results 2025</t>
        </is>
      </c>
    </row>
    <row r="19">
      <c r="A19" s="4" t="inlineStr">
        <is>
          <t>全年 EPS (NT$)</t>
        </is>
      </c>
      <c r="B19" s="6" t="inlineStr">
        <is>
          <t>66.25</t>
        </is>
      </c>
      <c r="C19" s="5" t="inlineStr">
        <is>
          <t>45.25</t>
        </is>
      </c>
      <c r="D19" s="7" t="inlineStr">
        <is>
          <t>+46.4%</t>
        </is>
      </c>
      <c r="E19" s="7" t="inlineStr">
        <is>
          <t>—</t>
        </is>
      </c>
      <c r="F19" s="8" t="inlineStr">
        <is>
          <t>Source: TSMC Annual Results 2025</t>
        </is>
      </c>
    </row>
    <row r="20">
      <c r="A20" s="2" t="inlineStr">
        <is>
          <t>全年 ROE</t>
        </is>
      </c>
      <c r="B20" s="9" t="inlineStr">
        <is>
          <t>35.4%</t>
        </is>
      </c>
      <c r="C20" s="3" t="inlineStr">
        <is>
          <t>26.8%</t>
        </is>
      </c>
      <c r="D20" s="10" t="inlineStr">
        <is>
          <t>+8.6pp</t>
        </is>
      </c>
      <c r="E20" s="10" t="inlineStr">
        <is>
          <t>+8.6</t>
        </is>
      </c>
      <c r="F20" s="11" t="inlineStr">
        <is>
          <t>Source: TSMC Annual Results 2025</t>
        </is>
      </c>
    </row>
    <row r="21">
      <c r="A21" s="4" t="inlineStr">
        <is>
          <t>營業現金流 (NT$ 兆)</t>
        </is>
      </c>
      <c r="B21" s="6" t="inlineStr">
        <is>
          <t>2.3</t>
        </is>
      </c>
      <c r="C21" s="5" t="inlineStr">
        <is>
          <t>1.97</t>
        </is>
      </c>
      <c r="D21" s="7" t="inlineStr">
        <is>
          <t>+16.8%</t>
        </is>
      </c>
      <c r="E21" s="7" t="inlineStr">
        <is>
          <t>—</t>
        </is>
      </c>
      <c r="F21" s="8" t="inlineStr">
        <is>
          <t>Source: TSMC Annual Results 2025</t>
        </is>
      </c>
    </row>
    <row r="22">
      <c r="A22" s="2" t="inlineStr">
        <is>
          <t>自由現金流 (NT$ 兆)</t>
        </is>
      </c>
      <c r="B22" s="9" t="inlineStr">
        <is>
          <t>1.0</t>
        </is>
      </c>
      <c r="C22" s="3" t="inlineStr">
        <is>
          <t>0.87</t>
        </is>
      </c>
      <c r="D22" s="10" t="inlineStr">
        <is>
          <t>+15.2%</t>
        </is>
      </c>
      <c r="E22" s="10" t="inlineStr">
        <is>
          <t>—</t>
        </is>
      </c>
      <c r="F22" s="11" t="inlineStr">
        <is>
          <t>Source: TSMC Annual Results 2025</t>
        </is>
      </c>
    </row>
    <row r="23">
      <c r="A23" s="4" t="inlineStr">
        <is>
          <t>現金及有價證券 (NT$ 兆)</t>
        </is>
      </c>
      <c r="B23" s="6" t="inlineStr">
        <is>
          <t>3.1</t>
        </is>
      </c>
      <c r="C23" s="5" t="inlineStr">
        <is>
          <t>—</t>
        </is>
      </c>
      <c r="D23" s="7" t="inlineStr">
        <is>
          <t>—</t>
        </is>
      </c>
      <c r="E23" s="7" t="inlineStr">
        <is>
          <t>—</t>
        </is>
      </c>
      <c r="F23" s="8" t="inlineStr">
        <is>
          <t>Source: TSMC Annual Results 2025</t>
        </is>
      </c>
    </row>
  </sheetData>
  <mergeCells count="3">
    <mergeCell ref="A3:F3"/>
    <mergeCell ref="A13:F13"/>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1"/>
  <sheetViews>
    <sheetView workbookViewId="0">
      <pane ySplit="4" topLeftCell="A5" activePane="bottomLeft" state="frozen"/>
      <selection pane="bottomLeft" activeCell="A1" sqref="A1:E1"/>
    </sheetView>
  </sheetViews>
  <sheetFormatPr baseColWidth="8" defaultRowHeight="15"/>
  <cols>
    <col width="28" customWidth="1" style="36" min="1" max="1"/>
    <col width="16" customWidth="1" style="36" min="2" max="4"/>
    <col width="20" customWidth="1" style="36" min="5" max="5"/>
  </cols>
  <sheetData>
    <row r="1" ht="30" customHeight="1" s="36">
      <c r="A1" s="44" t="inlineStr">
        <is>
          <t>TSMC 營收結構分析 | Revenue Breakdown Q4 2025</t>
        </is>
      </c>
    </row>
    <row r="3">
      <c r="A3" s="38" t="inlineStr">
        <is>
          <t>業務別營收佔比 (Business Segment)</t>
        </is>
      </c>
      <c r="B3" s="39" t="n"/>
      <c r="C3" s="39" t="n"/>
      <c r="D3" s="39" t="n"/>
      <c r="E3" s="40" t="n"/>
    </row>
    <row r="4">
      <c r="A4" s="1" t="inlineStr">
        <is>
          <t>業務別</t>
        </is>
      </c>
      <c r="B4" s="1" t="inlineStr">
        <is>
          <t>Q4 2025 佔比</t>
        </is>
      </c>
      <c r="C4" s="1" t="inlineStr">
        <is>
          <t>QoQ變化</t>
        </is>
      </c>
      <c r="D4" s="1" t="inlineStr">
        <is>
          <t>FY 2025 佔比</t>
        </is>
      </c>
      <c r="E4" s="1" t="inlineStr">
        <is>
          <t>YoY變化</t>
        </is>
      </c>
    </row>
    <row r="5">
      <c r="A5" s="4" t="inlineStr">
        <is>
          <t>HPC (高效能運算)</t>
        </is>
      </c>
      <c r="B5" s="6" t="inlineStr">
        <is>
          <t>55%</t>
        </is>
      </c>
      <c r="C5" s="7" t="inlineStr">
        <is>
          <t>+4%</t>
        </is>
      </c>
      <c r="D5" s="5" t="inlineStr">
        <is>
          <t>58%</t>
        </is>
      </c>
      <c r="E5" s="7" t="inlineStr">
        <is>
          <t>+48% YoY</t>
        </is>
      </c>
    </row>
    <row r="6">
      <c r="A6" s="2" t="inlineStr">
        <is>
          <t>智慧型手機</t>
        </is>
      </c>
      <c r="B6" s="9" t="inlineStr">
        <is>
          <t>28%</t>
        </is>
      </c>
      <c r="C6" s="10" t="inlineStr">
        <is>
          <t>+11%</t>
        </is>
      </c>
      <c r="D6" s="3" t="inlineStr">
        <is>
          <t>25%</t>
        </is>
      </c>
      <c r="E6" s="10" t="inlineStr">
        <is>
          <t>+11% YoY</t>
        </is>
      </c>
    </row>
    <row r="7">
      <c r="A7" s="4" t="inlineStr">
        <is>
          <t>IoT (物聯網)</t>
        </is>
      </c>
      <c r="B7" s="6" t="inlineStr">
        <is>
          <t>5%</t>
        </is>
      </c>
      <c r="C7" s="7" t="inlineStr">
        <is>
          <t>+3%</t>
        </is>
      </c>
      <c r="D7" s="5" t="inlineStr">
        <is>
          <t>6%</t>
        </is>
      </c>
      <c r="E7" s="7" t="inlineStr">
        <is>
          <t>—</t>
        </is>
      </c>
    </row>
    <row r="8">
      <c r="A8" s="2" t="inlineStr">
        <is>
          <t>汽車電子</t>
        </is>
      </c>
      <c r="B8" s="9" t="inlineStr">
        <is>
          <t>5%</t>
        </is>
      </c>
      <c r="C8" s="12" t="inlineStr">
        <is>
          <t>-1%</t>
        </is>
      </c>
      <c r="D8" s="3" t="inlineStr">
        <is>
          <t>5%</t>
        </is>
      </c>
      <c r="E8" s="10" t="inlineStr">
        <is>
          <t>—</t>
        </is>
      </c>
    </row>
    <row r="9">
      <c r="A9" s="4" t="inlineStr">
        <is>
          <t>DCE (數位消費電子)</t>
        </is>
      </c>
      <c r="B9" s="6" t="inlineStr">
        <is>
          <t>1%</t>
        </is>
      </c>
      <c r="C9" s="13" t="inlineStr">
        <is>
          <t>-22%</t>
        </is>
      </c>
      <c r="D9" s="5" t="inlineStr">
        <is>
          <t>1%</t>
        </is>
      </c>
      <c r="E9" s="7" t="inlineStr">
        <is>
          <t>—</t>
        </is>
      </c>
    </row>
    <row r="10">
      <c r="A10" s="2" t="inlineStr">
        <is>
          <t>AI 加速器</t>
        </is>
      </c>
      <c r="B10" s="9" t="inlineStr">
        <is>
          <t>High-teens%</t>
        </is>
      </c>
      <c r="C10" s="3" t="inlineStr">
        <is>
          <t>—</t>
        </is>
      </c>
      <c r="D10" s="3" t="inlineStr">
        <is>
          <t>High-teens%</t>
        </is>
      </c>
      <c r="E10" s="10" t="inlineStr">
        <is>
          <t>快速成長</t>
        </is>
      </c>
    </row>
    <row r="11">
      <c r="A11" s="45" t="inlineStr">
        <is>
          <t>Source: TSMC Q4 2025 Earnings Call, 2026-01-16</t>
        </is>
      </c>
    </row>
    <row r="13" ht="8" customHeight="1" s="36"/>
    <row r="14">
      <c r="A14" s="38" t="inlineStr">
        <is>
          <t>製程節點佔比 (Technology Node Mix) — Q4 2025</t>
        </is>
      </c>
      <c r="B14" s="39" t="n"/>
      <c r="C14" s="39" t="n"/>
      <c r="D14" s="39" t="n"/>
      <c r="E14" s="40" t="n"/>
    </row>
    <row r="15">
      <c r="A15" s="1" t="inlineStr">
        <is>
          <t>製程節點</t>
        </is>
      </c>
      <c r="B15" s="1" t="inlineStr">
        <is>
          <t>晶圓營收佔比</t>
        </is>
      </c>
      <c r="C15" s="1" t="inlineStr">
        <is>
          <t>技術分類</t>
        </is>
      </c>
      <c r="D15" s="1" t="inlineStr">
        <is>
          <t>狀態</t>
        </is>
      </c>
      <c r="E15" s="1" t="inlineStr">
        <is>
          <t>備註</t>
        </is>
      </c>
    </row>
    <row r="16">
      <c r="A16" s="2" t="inlineStr">
        <is>
          <t>N3 (3奈米)</t>
        </is>
      </c>
      <c r="B16" s="14" t="inlineStr">
        <is>
          <t>28%</t>
        </is>
      </c>
      <c r="C16" s="3" t="inlineStr">
        <is>
          <t>先進製程 ≤7nm</t>
        </is>
      </c>
      <c r="D16" s="3" t="inlineStr">
        <is>
          <t>量產中</t>
        </is>
      </c>
      <c r="E16" s="11" t="inlineStr">
        <is>
          <t>高效能、低功耗</t>
        </is>
      </c>
    </row>
    <row r="17">
      <c r="A17" s="4" t="inlineStr">
        <is>
          <t>N5 (5奈米)</t>
        </is>
      </c>
      <c r="B17" s="15" t="inlineStr">
        <is>
          <t>35%</t>
        </is>
      </c>
      <c r="C17" s="5" t="inlineStr">
        <is>
          <t>先進製程 ≤7nm</t>
        </is>
      </c>
      <c r="D17" s="5" t="inlineStr">
        <is>
          <t>量產中</t>
        </is>
      </c>
      <c r="E17" s="8" t="inlineStr">
        <is>
          <t>主力製程</t>
        </is>
      </c>
    </row>
    <row r="18">
      <c r="A18" s="2" t="inlineStr">
        <is>
          <t>N7 (7奈米)</t>
        </is>
      </c>
      <c r="B18" s="14" t="inlineStr">
        <is>
          <t>14%</t>
        </is>
      </c>
      <c r="C18" s="3" t="inlineStr">
        <is>
          <t>先進製程 ≤7nm</t>
        </is>
      </c>
      <c r="D18" s="3" t="inlineStr">
        <is>
          <t>量產中</t>
        </is>
      </c>
      <c r="E18" s="11" t="inlineStr">
        <is>
          <t>成熟先進製程</t>
        </is>
      </c>
    </row>
    <row r="19">
      <c r="A19" s="16" t="inlineStr">
        <is>
          <t>小計 ≤7nm</t>
        </is>
      </c>
      <c r="B19" s="17" t="inlineStr">
        <is>
          <t>77%</t>
        </is>
      </c>
      <c r="C19" s="18" t="inlineStr">
        <is>
          <t>先進製程合計</t>
        </is>
      </c>
      <c r="D19" s="18" t="inlineStr">
        <is>
          <t>—</t>
        </is>
      </c>
      <c r="E19" s="19">
        <f>SUM(B16:B18)</f>
        <v/>
      </c>
    </row>
    <row r="20">
      <c r="A20" s="2" t="inlineStr">
        <is>
          <t>N2 (2奈米)</t>
        </is>
      </c>
      <c r="B20" s="14" t="inlineStr">
        <is>
          <t>初期</t>
        </is>
      </c>
      <c r="C20" s="3" t="inlineStr">
        <is>
          <t>次世代製程</t>
        </is>
      </c>
      <c r="D20" s="3" t="inlineStr">
        <is>
          <t>HVM啟動</t>
        </is>
      </c>
      <c r="E20" s="11" t="inlineStr">
        <is>
          <t>Q4 2025進入高量產</t>
        </is>
      </c>
    </row>
    <row r="21">
      <c r="A21" s="4" t="inlineStr">
        <is>
          <t>N2P / A16</t>
        </is>
      </c>
      <c r="B21" s="15" t="inlineStr">
        <is>
          <t>—</t>
        </is>
      </c>
      <c r="C21" s="5" t="inlineStr">
        <is>
          <t>次世代製程</t>
        </is>
      </c>
      <c r="D21" s="5" t="inlineStr">
        <is>
          <t>2026 H2</t>
        </is>
      </c>
      <c r="E21" s="8" t="inlineStr">
        <is>
          <t>計畫2026下半年量產</t>
        </is>
      </c>
    </row>
  </sheetData>
  <mergeCells count="4">
    <mergeCell ref="A11:E11"/>
    <mergeCell ref="A14:E14"/>
    <mergeCell ref="A1:E1"/>
    <mergeCell ref="A3:E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2"/>
  <sheetViews>
    <sheetView workbookViewId="0">
      <pane ySplit="4" topLeftCell="A5" activePane="bottomLeft" state="frozen"/>
      <selection pane="bottomLeft" activeCell="A1" sqref="A1:D1"/>
    </sheetView>
  </sheetViews>
  <sheetFormatPr baseColWidth="8" defaultRowHeight="15"/>
  <cols>
    <col width="30" customWidth="1" style="36" min="1" max="1"/>
    <col width="22" customWidth="1" style="36" min="2" max="4"/>
  </cols>
  <sheetData>
    <row r="1" ht="30" customHeight="1" s="36">
      <c r="A1" s="44" t="inlineStr">
        <is>
          <t>TSMC 2026年展望 | 2026 Outlook &amp; Guidance</t>
        </is>
      </c>
    </row>
    <row r="3">
      <c r="A3" s="38" t="inlineStr">
        <is>
          <t>Q1 2026 管理層指引 (Management Guidance)</t>
        </is>
      </c>
      <c r="B3" s="39" t="n"/>
      <c r="C3" s="39" t="n"/>
      <c r="D3" s="40" t="n"/>
    </row>
    <row r="4">
      <c r="A4" s="1" t="inlineStr">
        <is>
          <t>指標</t>
        </is>
      </c>
      <c r="B4" s="1" t="inlineStr">
        <is>
          <t>指引下限</t>
        </is>
      </c>
      <c r="C4" s="1" t="inlineStr">
        <is>
          <t>指引上限</t>
        </is>
      </c>
      <c r="D4" s="1" t="inlineStr">
        <is>
          <t>指引中位數</t>
        </is>
      </c>
    </row>
    <row r="5">
      <c r="A5" s="4" t="inlineStr">
        <is>
          <t>Q1 2026 營收 (USD B)</t>
        </is>
      </c>
      <c r="B5" s="5" t="inlineStr">
        <is>
          <t>34.6</t>
        </is>
      </c>
      <c r="C5" s="5" t="inlineStr">
        <is>
          <t>35.8</t>
        </is>
      </c>
      <c r="D5" s="6" t="inlineStr">
        <is>
          <t>35.2 (中位數)</t>
        </is>
      </c>
    </row>
    <row r="6">
      <c r="A6" s="2" t="inlineStr">
        <is>
          <t>Q1 2026 毛利率</t>
        </is>
      </c>
      <c r="B6" s="3" t="inlineStr">
        <is>
          <t>63.0%</t>
        </is>
      </c>
      <c r="C6" s="3" t="inlineStr">
        <is>
          <t>65.0%</t>
        </is>
      </c>
      <c r="D6" s="9" t="inlineStr">
        <is>
          <t>64.0% (中位數)</t>
        </is>
      </c>
    </row>
    <row r="7">
      <c r="A7" s="4" t="inlineStr">
        <is>
          <t>Q1 2026 營業利益率</t>
        </is>
      </c>
      <c r="B7" s="5" t="inlineStr">
        <is>
          <t>54.0%</t>
        </is>
      </c>
      <c r="C7" s="5" t="inlineStr">
        <is>
          <t>56.0%</t>
        </is>
      </c>
      <c r="D7" s="6" t="inlineStr">
        <is>
          <t>55.0% (中位數)</t>
        </is>
      </c>
    </row>
    <row r="8">
      <c r="A8" s="2" t="inlineStr">
        <is>
          <t>YoY 營收增長率</t>
        </is>
      </c>
      <c r="B8" s="3" t="inlineStr">
        <is>
          <t>~38%</t>
        </is>
      </c>
      <c r="C8" s="3" t="inlineStr">
        <is>
          <t>~38%</t>
        </is>
      </c>
      <c r="D8" s="9" t="inlineStr">
        <is>
          <t>~38%</t>
        </is>
      </c>
    </row>
    <row r="9">
      <c r="A9" s="45" t="inlineStr">
        <is>
          <t>Source: TSMC Q4 2025 Earnings Call, 2026-01-16 | https://pr.tsmc.com/english/news/3281</t>
        </is>
      </c>
    </row>
    <row r="11" ht="8" customHeight="1" s="36"/>
    <row r="12">
      <c r="A12" s="38" t="inlineStr">
        <is>
          <t>全年 2026 展望 (Full-Year 2026 Outlook)</t>
        </is>
      </c>
      <c r="B12" s="39" t="n"/>
      <c r="C12" s="39" t="n"/>
      <c r="D12" s="40" t="n"/>
    </row>
    <row r="13">
      <c r="A13" s="1" t="inlineStr">
        <is>
          <t>項目</t>
        </is>
      </c>
      <c r="B13" s="1" t="inlineStr">
        <is>
          <t>數值 / 範圍</t>
        </is>
      </c>
      <c r="C13" s="1" t="inlineStr">
        <is>
          <t>比較基準</t>
        </is>
      </c>
      <c r="D13" s="1" t="inlineStr">
        <is>
          <t>備註</t>
        </is>
      </c>
    </row>
    <row r="14">
      <c r="A14" s="2" t="inlineStr">
        <is>
          <t>全年營收增長率 (USD)</t>
        </is>
      </c>
      <c r="B14" s="9" t="inlineStr">
        <is>
          <t>~30% YoY</t>
        </is>
      </c>
      <c r="C14" s="3" t="inlineStr">
        <is>
          <t>FY 2025: $122B</t>
        </is>
      </c>
      <c r="D14" s="11" t="inlineStr">
        <is>
          <t>Source: TSMC FY2025 Results</t>
        </is>
      </c>
    </row>
    <row r="15">
      <c r="A15" s="4" t="inlineStr">
        <is>
          <t>資本支出 (CapEx)</t>
        </is>
      </c>
      <c r="B15" s="6" t="inlineStr">
        <is>
          <t>USD 52–56 B</t>
        </is>
      </c>
      <c r="C15" s="5" t="inlineStr">
        <is>
          <t>FY 2025: ~$38B</t>
        </is>
      </c>
      <c r="D15" s="8" t="inlineStr">
        <is>
          <t>Source: TSMC FY2025 Results</t>
        </is>
      </c>
    </row>
    <row r="16">
      <c r="A16" s="2" t="inlineStr">
        <is>
          <t>先進製程CapEx佔比</t>
        </is>
      </c>
      <c r="B16" s="9" t="inlineStr">
        <is>
          <t>70–80%</t>
        </is>
      </c>
      <c r="C16" s="3" t="inlineStr">
        <is>
          <t>—</t>
        </is>
      </c>
      <c r="D16" s="11" t="inlineStr">
        <is>
          <t>Source: TSMC FY2025 Results</t>
        </is>
      </c>
    </row>
    <row r="17">
      <c r="A17" s="4" t="inlineStr">
        <is>
          <t>預估下期 EPS (NT$)</t>
        </is>
      </c>
      <c r="B17" s="6" t="inlineStr">
        <is>
          <t>20.38</t>
        </is>
      </c>
      <c r="C17" s="5" t="inlineStr">
        <is>
          <t>Q4 2025: 19.50</t>
        </is>
      </c>
      <c r="D17" s="8" t="inlineStr">
        <is>
          <t>Source: MarketScreener Consensus</t>
        </is>
      </c>
    </row>
    <row r="18">
      <c r="A18" s="2" t="inlineStr">
        <is>
          <t>全年現金股利 (NT$/股)</t>
        </is>
      </c>
      <c r="B18" s="9" t="inlineStr">
        <is>
          <t>≥23</t>
        </is>
      </c>
      <c r="C18" s="3" t="inlineStr">
        <is>
          <t>FY 2025: 18</t>
        </is>
      </c>
      <c r="D18" s="11" t="inlineStr">
        <is>
          <t>Source: TSMC FY2025 Results</t>
        </is>
      </c>
    </row>
    <row r="19">
      <c r="A19" s="4" t="inlineStr">
        <is>
          <t>N2P / A16 量產</t>
        </is>
      </c>
      <c r="B19" s="6" t="inlineStr">
        <is>
          <t>2026 H2</t>
        </is>
      </c>
      <c r="C19" s="5" t="inlineStr">
        <is>
          <t>N2 已量產</t>
        </is>
      </c>
      <c r="D19" s="8" t="inlineStr">
        <is>
          <t>Source: TSMC Technology Roadmap</t>
        </is>
      </c>
    </row>
    <row r="20">
      <c r="A20" s="2" t="inlineStr">
        <is>
          <t>海外廠擴張</t>
        </is>
      </c>
      <c r="B20" s="9" t="inlineStr">
        <is>
          <t>Arizona / Japan</t>
        </is>
      </c>
      <c r="C20" s="3" t="inlineStr">
        <is>
          <t>持續投資</t>
        </is>
      </c>
      <c r="D20" s="11" t="inlineStr">
        <is>
          <t>美日廠擴產，壓縮部分毛利率</t>
        </is>
      </c>
    </row>
    <row r="21" s="36">
      <c r="A21" s="60" t="inlineStr">
        <is>
          <t>記憶體自主供應 (Winbond WoW)</t>
        </is>
      </c>
      <c r="B21" s="60" t="inlineStr">
        <is>
          <t>CUBE特殊DRAM / WoW 3D堆疊</t>
        </is>
      </c>
      <c r="C21" s="60" t="inlineStr">
        <is>
          <t>降低HBM對Samsung/SK依賴</t>
        </is>
      </c>
      <c r="D21" s="60" t="inlineStr">
        <is>
          <t>Source: TSMC-Winbond 2026-06-29; 在地化估縮短週期66%/降運費90%、導入SoIC先進封裝</t>
        </is>
      </c>
    </row>
    <row r="22" s="36">
      <c r="A22" s="60" t="inlineStr">
        <is>
          <t>ASIC 客戶群擴大 (NVIDIA-MediaTek)</t>
        </is>
      </c>
      <c r="B22" s="60" t="inlineStr">
        <is>
          <t>NVLink Fusion 十年合作 / 客製化 XPU</t>
        </is>
      </c>
      <c r="C22" s="60" t="inlineStr">
        <is>
          <t>原僅 Broadcom 為主要 ASIC 設計商</t>
        </is>
      </c>
      <c r="D22" s="60" t="inlineStr">
        <is>
          <t>Source: 輝達 2026-08-31 公告；以 35 億美元認購聯發科 ECB（Alphabet 亦參與），聯發科採 NVLink Fusion 助 CSP 開發客製化 XPU 與機櫃級 AI 工廠。對 TSMC：客製化 XPU 無論由何方設計，先進製程投片與 CoWoS 封裝需求均歸 TSMC。註：尚未揭露投片時程與量體，不計入近期營收預估</t>
        </is>
      </c>
    </row>
  </sheetData>
  <mergeCells count="4">
    <mergeCell ref="A1:D1"/>
    <mergeCell ref="A12:D12"/>
    <mergeCell ref="A9:D9"/>
    <mergeCell ref="A3:D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9"/>
  <sheetViews>
    <sheetView workbookViewId="0">
      <pane ySplit="4" topLeftCell="A5" activePane="bottomLeft" state="frozen"/>
      <selection pane="bottomLeft" activeCell="A1" sqref="A1:E1"/>
    </sheetView>
  </sheetViews>
  <sheetFormatPr baseColWidth="8" defaultRowHeight="15"/>
  <cols>
    <col width="10" customWidth="1" style="36" min="1" max="1"/>
    <col width="22" customWidth="1" style="36" min="2" max="5"/>
  </cols>
  <sheetData>
    <row r="1" ht="30" customHeight="1" s="36">
      <c r="A1" s="44" t="inlineStr">
        <is>
          <t>TSMC 股息記錄 | Dividend History</t>
        </is>
      </c>
    </row>
    <row r="3">
      <c r="A3" s="38" t="inlineStr">
        <is>
          <t>年度現金股利 (Annual Cash Dividend)</t>
        </is>
      </c>
      <c r="B3" s="39" t="n"/>
      <c r="C3" s="39" t="n"/>
      <c r="D3" s="39" t="n"/>
      <c r="E3" s="40" t="n"/>
    </row>
    <row r="4">
      <c r="A4" s="1" t="inlineStr">
        <is>
          <t>年份</t>
        </is>
      </c>
      <c r="B4" s="1" t="inlineStr">
        <is>
          <t>現金股利 (NT$/股)</t>
        </is>
      </c>
      <c r="C4" s="1" t="inlineStr">
        <is>
          <t>YoY增長率</t>
        </is>
      </c>
      <c r="D4" s="1" t="inlineStr">
        <is>
          <t>發放日期</t>
        </is>
      </c>
      <c r="E4" s="1" t="inlineStr">
        <is>
          <t>備註</t>
        </is>
      </c>
    </row>
    <row r="5">
      <c r="A5" s="20" t="inlineStr">
        <is>
          <t>2022</t>
        </is>
      </c>
      <c r="B5" s="15" t="inlineStr">
        <is>
          <t>NT$10.00</t>
        </is>
      </c>
      <c r="C5" s="7" t="inlineStr">
        <is>
          <t>—</t>
        </is>
      </c>
      <c r="D5" s="5" t="inlineStr">
        <is>
          <t>2022</t>
        </is>
      </c>
      <c r="E5" s="8" t="inlineStr">
        <is>
          <t>Source: TSMC IR</t>
        </is>
      </c>
    </row>
    <row r="6">
      <c r="A6" s="21" t="inlineStr">
        <is>
          <t>2023</t>
        </is>
      </c>
      <c r="B6" s="14" t="inlineStr">
        <is>
          <t>NT$11.00</t>
        </is>
      </c>
      <c r="C6" s="10" t="inlineStr">
        <is>
          <t>+10.0%</t>
        </is>
      </c>
      <c r="D6" s="3" t="inlineStr">
        <is>
          <t>2023</t>
        </is>
      </c>
      <c r="E6" s="11" t="inlineStr">
        <is>
          <t>Source: TSMC IR</t>
        </is>
      </c>
    </row>
    <row r="7">
      <c r="A7" s="20" t="inlineStr">
        <is>
          <t>2024</t>
        </is>
      </c>
      <c r="B7" s="15" t="inlineStr">
        <is>
          <t>NT$14.00</t>
        </is>
      </c>
      <c r="C7" s="7" t="inlineStr">
        <is>
          <t>+27.3%</t>
        </is>
      </c>
      <c r="D7" s="5" t="inlineStr">
        <is>
          <t>2024</t>
        </is>
      </c>
      <c r="E7" s="8" t="inlineStr">
        <is>
          <t>Source: TSMC IR</t>
        </is>
      </c>
    </row>
    <row r="8">
      <c r="A8" s="21" t="inlineStr">
        <is>
          <t>2025</t>
        </is>
      </c>
      <c r="B8" s="14" t="inlineStr">
        <is>
          <t>NT$18.00</t>
        </is>
      </c>
      <c r="C8" s="10" t="inlineStr">
        <is>
          <t>+28.6%</t>
        </is>
      </c>
      <c r="D8" s="3" t="inlineStr">
        <is>
          <t>2025</t>
        </is>
      </c>
      <c r="E8" s="11" t="inlineStr">
        <is>
          <t>Source: TSMC FY2025 Results</t>
        </is>
      </c>
    </row>
    <row r="9">
      <c r="A9" s="22" t="inlineStr">
        <is>
          <t>2026</t>
        </is>
      </c>
      <c r="B9" s="23" t="inlineStr">
        <is>
          <t>NT$23.00+</t>
        </is>
      </c>
      <c r="C9" s="24" t="inlineStr">
        <is>
          <t>+27.8%+</t>
        </is>
      </c>
      <c r="D9" s="25" t="inlineStr">
        <is>
          <t>2026 (預估)</t>
        </is>
      </c>
      <c r="E9" s="26" t="inlineStr">
        <is>
          <t>Source: TSMC FY2025 Guidance; 最低金額</t>
        </is>
      </c>
    </row>
    <row r="11" ht="8" customHeight="1" s="36"/>
    <row r="12">
      <c r="A12" s="38" t="inlineStr">
        <is>
          <t>近期股息記錄 (Recent Quarterly Dividends)</t>
        </is>
      </c>
      <c r="B12" s="39" t="n"/>
      <c r="C12" s="39" t="n"/>
      <c r="D12" s="39" t="n"/>
      <c r="E12" s="40" t="n"/>
    </row>
    <row r="13">
      <c r="A13" s="1" t="inlineStr">
        <is>
          <t>季度</t>
        </is>
      </c>
      <c r="B13" s="1" t="inlineStr">
        <is>
          <t>每季現金股利 (NT$/股)</t>
        </is>
      </c>
      <c r="C13" s="1" t="inlineStr">
        <is>
          <t>除息日</t>
        </is>
      </c>
      <c r="D13" s="1" t="inlineStr">
        <is>
          <t>支付日</t>
        </is>
      </c>
      <c r="E13" s="1" t="inlineStr">
        <is>
          <t>備註</t>
        </is>
      </c>
    </row>
    <row r="14">
      <c r="A14" s="22" t="inlineStr">
        <is>
          <t>Q2 2026</t>
        </is>
      </c>
      <c r="B14" s="23" t="inlineStr">
        <is>
          <t>NT$7.00</t>
        </is>
      </c>
      <c r="C14" s="25" t="inlineStr">
        <is>
          <t>2026-12-10</t>
        </is>
      </c>
      <c r="D14" s="25" t="inlineStr">
        <is>
          <t>2027-01-07</t>
        </is>
      </c>
      <c r="E14" s="26" t="inlineStr">
        <is>
          <t>Source: TSMC 2026-08-11 董事會決議；首推外資美元領息選項</t>
        </is>
      </c>
    </row>
    <row r="15">
      <c r="A15" s="22" t="inlineStr">
        <is>
          <t>Q1 2026</t>
        </is>
      </c>
      <c r="B15" s="23" t="inlineStr">
        <is>
          <t>NT$6.00</t>
        </is>
      </c>
      <c r="C15" s="25" t="inlineStr">
        <is>
          <t>2026-03-17</t>
        </is>
      </c>
      <c r="D15" s="25" t="inlineStr">
        <is>
          <t>2026-04</t>
        </is>
      </c>
      <c r="E15" s="26" t="inlineStr">
        <is>
          <t>Source: TSMC IR</t>
        </is>
      </c>
    </row>
    <row r="16">
      <c r="A16" s="20" t="inlineStr">
        <is>
          <t>Q4 2025</t>
        </is>
      </c>
      <c r="B16" s="6" t="inlineStr">
        <is>
          <t>NT$4.50</t>
        </is>
      </c>
      <c r="C16" s="5" t="inlineStr">
        <is>
          <t>—</t>
        </is>
      </c>
      <c r="D16" s="5" t="inlineStr">
        <is>
          <t>2026-01</t>
        </is>
      </c>
      <c r="E16" s="8" t="inlineStr">
        <is>
          <t>Source: TSMC IR</t>
        </is>
      </c>
    </row>
    <row r="17">
      <c r="A17" s="21" t="inlineStr">
        <is>
          <t>Q3 2025</t>
        </is>
      </c>
      <c r="B17" s="9" t="inlineStr">
        <is>
          <t>NT$4.50</t>
        </is>
      </c>
      <c r="C17" s="3" t="inlineStr">
        <is>
          <t>—</t>
        </is>
      </c>
      <c r="D17" s="3" t="inlineStr">
        <is>
          <t>2025-10</t>
        </is>
      </c>
      <c r="E17" s="11" t="inlineStr">
        <is>
          <t>Source: TSMC IR</t>
        </is>
      </c>
    </row>
    <row r="18">
      <c r="A18" s="20" t="inlineStr">
        <is>
          <t>Q2 2025</t>
        </is>
      </c>
      <c r="B18" s="6" t="inlineStr">
        <is>
          <t>NT$4.50</t>
        </is>
      </c>
      <c r="C18" s="5" t="inlineStr">
        <is>
          <t>—</t>
        </is>
      </c>
      <c r="D18" s="5" t="inlineStr">
        <is>
          <t>2025-07</t>
        </is>
      </c>
      <c r="E18" s="8" t="inlineStr">
        <is>
          <t>Source: TSMC IR</t>
        </is>
      </c>
    </row>
    <row r="19">
      <c r="A19" s="21" t="inlineStr">
        <is>
          <t>Q1 2025</t>
        </is>
      </c>
      <c r="B19" s="9" t="inlineStr">
        <is>
          <t>NT$4.50</t>
        </is>
      </c>
      <c r="C19" s="3" t="inlineStr">
        <is>
          <t>—</t>
        </is>
      </c>
      <c r="D19" s="3" t="inlineStr">
        <is>
          <t>2025-04</t>
        </is>
      </c>
      <c r="E19" s="11" t="inlineStr">
        <is>
          <t>Source: TSMC IR</t>
        </is>
      </c>
    </row>
  </sheetData>
  <mergeCells count="3">
    <mergeCell ref="A1:E1"/>
    <mergeCell ref="A12:E12"/>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workbookViewId="0">
      <pane ySplit="4" topLeftCell="A5" activePane="bottomLeft" state="frozen"/>
      <selection pane="bottomLeft" activeCell="A1" sqref="A1:E1"/>
    </sheetView>
  </sheetViews>
  <sheetFormatPr baseColWidth="8" defaultRowHeight="15"/>
  <cols>
    <col width="22" customWidth="1" style="36" min="1" max="1"/>
    <col width="42" customWidth="1" style="36" min="2" max="2"/>
    <col width="14" customWidth="1" style="36" min="3" max="4"/>
    <col width="18" customWidth="1" style="36" min="5" max="5"/>
  </cols>
  <sheetData>
    <row r="1" ht="30" customHeight="1" s="36">
      <c r="A1" s="44" t="inlineStr">
        <is>
          <t>TSMC 投資風險評估 | Risk Assessment Matrix</t>
        </is>
      </c>
    </row>
    <row r="3">
      <c r="A3" s="38" t="inlineStr">
        <is>
          <t>主要風險矩陣 (Key Risk Matrix)</t>
        </is>
      </c>
      <c r="B3" s="39" t="n"/>
      <c r="C3" s="39" t="n"/>
      <c r="D3" s="39" t="n"/>
      <c r="E3" s="40" t="n"/>
    </row>
    <row r="4">
      <c r="A4" s="1" t="inlineStr">
        <is>
          <t>風險類別</t>
        </is>
      </c>
      <c r="B4" s="1" t="inlineStr">
        <is>
          <t>風險描述</t>
        </is>
      </c>
      <c r="C4" s="1" t="inlineStr">
        <is>
          <t>影響程度</t>
        </is>
      </c>
      <c r="D4" s="1" t="inlineStr">
        <is>
          <t>發生機率</t>
        </is>
      </c>
      <c r="E4" s="1" t="inlineStr">
        <is>
          <t>風險評級</t>
        </is>
      </c>
    </row>
    <row r="5">
      <c r="A5" s="4" t="inlineStr">
        <is>
          <t>地緣政治風險</t>
        </is>
      </c>
      <c r="B5" s="8" t="inlineStr">
        <is>
          <t>台海緊張局勢、兩岸關係不確定性對生產造成衝擊</t>
        </is>
      </c>
      <c r="C5" s="5" t="inlineStr">
        <is>
          <t>高</t>
        </is>
      </c>
      <c r="D5" s="5" t="inlineStr">
        <is>
          <t>中</t>
        </is>
      </c>
      <c r="E5" s="27" t="inlineStr">
        <is>
          <t>🔴 高</t>
        </is>
      </c>
    </row>
    <row r="6">
      <c r="A6" s="2" t="inlineStr">
        <is>
          <t>出口管制風險</t>
        </is>
      </c>
      <c r="B6" s="11" t="inlineStr">
        <is>
          <t>AI晶片對中國出口限制（NVIDIA案例），影響客戶需求</t>
        </is>
      </c>
      <c r="C6" s="3" t="inlineStr">
        <is>
          <t>高</t>
        </is>
      </c>
      <c r="D6" s="3" t="inlineStr">
        <is>
          <t>高</t>
        </is>
      </c>
      <c r="E6" s="27" t="inlineStr">
        <is>
          <t>🔴 高</t>
        </is>
      </c>
    </row>
    <row r="7">
      <c r="A7" s="4" t="inlineStr">
        <is>
          <t>匯率風險</t>
        </is>
      </c>
      <c r="B7" s="8" t="inlineStr">
        <is>
          <t>新台幣升值壓縮以美元計價之海外獲利</t>
        </is>
      </c>
      <c r="C7" s="5" t="inlineStr">
        <is>
          <t>中</t>
        </is>
      </c>
      <c r="D7" s="5" t="inlineStr">
        <is>
          <t>中</t>
        </is>
      </c>
      <c r="E7" s="28" t="inlineStr">
        <is>
          <t>🟡 中</t>
        </is>
      </c>
    </row>
    <row r="8">
      <c r="A8" s="2" t="inlineStr">
        <is>
          <t>供應鏈風險</t>
        </is>
      </c>
      <c r="B8" s="11" t="inlineStr">
        <is>
          <t>關鍵設備（ASML EUV）與材料依賴程度高</t>
        </is>
      </c>
      <c r="C8" s="3" t="inlineStr">
        <is>
          <t>中</t>
        </is>
      </c>
      <c r="D8" s="3" t="inlineStr">
        <is>
          <t>低</t>
        </is>
      </c>
      <c r="E8" s="28" t="inlineStr">
        <is>
          <t>🟡 中</t>
        </is>
      </c>
    </row>
    <row r="9">
      <c r="A9" s="4" t="inlineStr">
        <is>
          <t>競爭風險</t>
        </is>
      </c>
      <c r="B9" s="8" t="inlineStr">
        <is>
          <t>三星、Intel在先進製程的追趕，爭奪高端客戶</t>
        </is>
      </c>
      <c r="C9" s="5" t="inlineStr">
        <is>
          <t>中</t>
        </is>
      </c>
      <c r="D9" s="5" t="inlineStr">
        <is>
          <t>低</t>
        </is>
      </c>
      <c r="E9" s="28" t="inlineStr">
        <is>
          <t>🟡 中</t>
        </is>
      </c>
    </row>
    <row r="10">
      <c r="A10" s="2" t="inlineStr">
        <is>
          <t>總體經濟風險</t>
        </is>
      </c>
      <c r="B10" s="11" t="inlineStr">
        <is>
          <t>關稅政策不確定性、消費性電子需求疲軟</t>
        </is>
      </c>
      <c r="C10" s="3" t="inlineStr">
        <is>
          <t>中</t>
        </is>
      </c>
      <c r="D10" s="3" t="inlineStr">
        <is>
          <t>中</t>
        </is>
      </c>
      <c r="E10" s="28" t="inlineStr">
        <is>
          <t>🟡 中</t>
        </is>
      </c>
    </row>
    <row r="11">
      <c r="A11" s="4" t="inlineStr">
        <is>
          <t>技術風險</t>
        </is>
      </c>
      <c r="B11" s="8" t="inlineStr">
        <is>
          <t>N2/A16量產良率爬升挑戰，海外廠製程複製困難</t>
        </is>
      </c>
      <c r="C11" s="5" t="inlineStr">
        <is>
          <t>中</t>
        </is>
      </c>
      <c r="D11" s="5" t="inlineStr">
        <is>
          <t>低</t>
        </is>
      </c>
      <c r="E11" s="28" t="inlineStr">
        <is>
          <t>🟡 中</t>
        </is>
      </c>
    </row>
    <row r="12">
      <c r="A12" s="2" t="inlineStr">
        <is>
          <t>監管風險</t>
        </is>
      </c>
      <c r="B12" s="11" t="inlineStr">
        <is>
          <t>美國補貼附帶條件、半導體法案限制</t>
        </is>
      </c>
      <c r="C12" s="3" t="inlineStr">
        <is>
          <t>低</t>
        </is>
      </c>
      <c r="D12" s="3" t="inlineStr">
        <is>
          <t>低</t>
        </is>
      </c>
      <c r="E12" s="29" t="inlineStr">
        <is>
          <t>🟢 低</t>
        </is>
      </c>
    </row>
    <row r="14" ht="8" customHeight="1" s="36"/>
    <row r="15">
      <c r="A15" s="38" t="inlineStr">
        <is>
          <t>技術與市場優勢 (Competitive Moat)</t>
        </is>
      </c>
      <c r="B15" s="39" t="n"/>
      <c r="C15" s="39" t="n"/>
      <c r="D15" s="39" t="n"/>
      <c r="E15" s="40" t="n"/>
    </row>
    <row r="16" ht="20" customHeight="1" s="36">
      <c r="A16" s="46" t="inlineStr">
        <is>
          <t>1. 技術領先：全球唯一量產3nm的foundry，N2於Q4 2025進入HVM，持續領先競爭對手2-3代</t>
        </is>
      </c>
      <c r="B16" s="39" t="n"/>
      <c r="C16" s="39" t="n"/>
      <c r="D16" s="39" t="n"/>
      <c r="E16" s="40" t="n"/>
    </row>
    <row r="17" ht="20" customHeight="1" s="36">
      <c r="A17" s="47" t="inlineStr">
        <is>
          <t>2. 規模優勢：全球晶圓代工市占率約60%，客戶黏著度高（Apple、NVIDIA、AMD、Qualcomm）</t>
        </is>
      </c>
      <c r="B17" s="39" t="n"/>
      <c r="C17" s="39" t="n"/>
      <c r="D17" s="39" t="n"/>
      <c r="E17" s="40" t="n"/>
    </row>
    <row r="18" ht="20" customHeight="1" s="36">
      <c r="A18" s="46" t="inlineStr">
        <is>
          <t>3. AI需求催動：AI伺服器、HPC晶片需求爆發，2025年AI加速器佔比達high-teens%</t>
        </is>
      </c>
      <c r="B18" s="39" t="n"/>
      <c r="C18" s="39" t="n"/>
      <c r="D18" s="39" t="n"/>
      <c r="E18" s="40" t="n"/>
    </row>
    <row r="19" ht="20" customHeight="1" s="36">
      <c r="A19" s="47" t="inlineStr">
        <is>
          <t>4. 地理分散：Arizona、Japan廠持續擴產，降低地緣政治集中風險</t>
        </is>
      </c>
      <c r="B19" s="39" t="n"/>
      <c r="C19" s="39" t="n"/>
      <c r="D19" s="39" t="n"/>
      <c r="E19" s="40" t="n"/>
    </row>
    <row r="20" ht="20" customHeight="1" s="36">
      <c r="A20" s="46" t="inlineStr">
        <is>
          <t>5. 強健財務：ROE 35.4%、自由現金流NT$1兆，資本實力雄厚</t>
        </is>
      </c>
      <c r="B20" s="39" t="n"/>
      <c r="C20" s="39" t="n"/>
      <c r="D20" s="39" t="n"/>
      <c r="E20" s="40" t="n"/>
    </row>
  </sheetData>
  <mergeCells count="8">
    <mergeCell ref="A20:E20"/>
    <mergeCell ref="A16:E16"/>
    <mergeCell ref="A15:E15"/>
    <mergeCell ref="A19:E19"/>
    <mergeCell ref="A1:E1"/>
    <mergeCell ref="A17:E17"/>
    <mergeCell ref="A18:E18"/>
    <mergeCell ref="A3:E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19"/>
  <sheetViews>
    <sheetView tabSelected="1" workbookViewId="0">
      <pane ySplit="3" topLeftCell="A4" activePane="bottomLeft" state="frozen"/>
      <selection pane="bottomLeft" activeCell="A1" sqref="A1:G1"/>
    </sheetView>
  </sheetViews>
  <sheetFormatPr baseColWidth="8" defaultRowHeight="15"/>
  <cols>
    <col width="14" customWidth="1" style="36" min="1" max="1"/>
    <col width="18" customWidth="1" style="36" min="2" max="2"/>
    <col width="12" customWidth="1" style="36" min="3" max="3"/>
    <col width="18" customWidth="1" style="36" min="4" max="4"/>
    <col width="16" customWidth="1" style="36" min="5" max="5"/>
    <col width="40" customWidth="1" style="36" min="6" max="6"/>
    <col width="22" customWidth="1" style="36" min="7" max="7"/>
  </cols>
  <sheetData>
    <row r="1" ht="30" customHeight="1" s="36">
      <c r="A1" s="44" t="inlineStr">
        <is>
          <t>TSMC 每日股價更新記錄 | Daily Price Update Log</t>
        </is>
      </c>
    </row>
    <row r="2" ht="22.05" customHeight="1" s="36">
      <c r="A2" s="48" t="inlineStr">
        <is>
          <t>最後更新：2026-09-04</t>
        </is>
      </c>
    </row>
    <row r="3">
      <c r="A3" s="1" t="inlineStr">
        <is>
          <t>更新日期</t>
        </is>
      </c>
      <c r="B3" s="1" t="inlineStr">
        <is>
          <t>台股收盤價 (TWD)</t>
        </is>
      </c>
      <c r="C3" s="1" t="inlineStr">
        <is>
          <t>漲跌幅 (%)</t>
        </is>
      </c>
      <c r="D3" s="1" t="inlineStr">
        <is>
          <t>NYSE收盤價 (USD)</t>
        </is>
      </c>
      <c r="E3" s="1" t="inlineStr">
        <is>
          <t>成交量 (張)</t>
        </is>
      </c>
      <c r="F3" s="1" t="inlineStr">
        <is>
          <t>當日重要消息</t>
        </is>
      </c>
      <c r="G3" s="1" t="inlineStr">
        <is>
          <t>資料來源</t>
        </is>
      </c>
    </row>
    <row r="4">
      <c r="A4" s="3" t="inlineStr">
        <is>
          <t>2026-03-09</t>
        </is>
      </c>
      <c r="B4" s="3" t="inlineStr">
        <is>
          <t>NT$1,900</t>
        </is>
      </c>
      <c r="C4" s="3" t="inlineStr">
        <is>
          <t>+1.86%</t>
        </is>
      </c>
      <c r="D4" s="3" t="inlineStr">
        <is>
          <t>US$338.89</t>
        </is>
      </c>
      <c r="E4" s="3" t="inlineStr">
        <is>
          <t>—</t>
        </is>
      </c>
      <c r="F4" s="11" t="inlineStr">
        <is>
          <t>初始建立報告，資料來源多方</t>
        </is>
      </c>
      <c r="G4" s="3" t="inlineStr">
        <is>
          <t>Yahoo Finance / CNBC / MarketScreener</t>
        </is>
      </c>
    </row>
    <row r="6" ht="8" customHeight="1" s="36"/>
    <row r="7" ht="25.05" customHeight="1" s="36">
      <c r="A7" s="49" t="inlineStr">
        <is>
          <t>💡 每日更新說明：在第4列以下依序新增記錄，或使用排程技能自動更新。欄位C漲跌幅為正數請填綠色、負數填紅色。</t>
        </is>
      </c>
    </row>
    <row r="8">
      <c r="A8" s="3" t="inlineStr">
        <is>
          <t>2026-03-10</t>
        </is>
      </c>
      <c r="B8" s="3" t="inlineStr">
        <is>
          <t>NT$1,890</t>
        </is>
      </c>
      <c r="C8" s="30" t="inlineStr">
        <is>
          <t>0.00%</t>
        </is>
      </c>
      <c r="D8" s="3" t="inlineStr">
        <is>
          <t>US$348.70</t>
        </is>
      </c>
      <c r="E8" s="3" t="inlineStr">
        <is>
          <t>28,542 張</t>
        </is>
      </c>
      <c r="F8" s="11" t="inlineStr">
        <is>
          <t>2月月營收今日公告（待更新）；前SVP涉嫌洩露2nm技術給Intel受調查；NVIDIA GTC 3/16揭露Feynman/A16；Arizona 3nm提前至2027</t>
        </is>
      </c>
      <c r="G8" s="3" t="inlineStr">
        <is>
          <t>Yahoo Finance / TSMC IR</t>
        </is>
      </c>
    </row>
    <row r="9">
      <c r="A9" s="5" t="inlineStr">
        <is>
          <t>2026-03-11</t>
        </is>
      </c>
      <c r="B9" s="5" t="inlineStr">
        <is>
          <t>NT$1,915</t>
        </is>
      </c>
      <c r="C9" s="31" t="inlineStr">
        <is>
          <t>+1.86%</t>
        </is>
      </c>
      <c r="D9" s="5" t="inlineStr">
        <is>
          <t>US$349.49</t>
        </is>
      </c>
      <c r="E9" s="5" t="inlineStr">
        <is>
          <t>39,307 張</t>
        </is>
      </c>
      <c r="F9" s="8" t="inlineStr">
        <is>
          <t>2月月營收年增22.2%，台股受惠反彈+1.86%；NYSE受美伊戰爭風險下跌-2.22%至US$349.49</t>
        </is>
      </c>
      <c r="G9" s="5" t="inlineStr">
        <is>
          <t>Yahoo Finance / Bloomberg</t>
        </is>
      </c>
    </row>
    <row r="10">
      <c r="A10" s="3" t="inlineStr">
        <is>
          <t>2026-03-12</t>
        </is>
      </c>
      <c r="B10" s="3" t="inlineStr">
        <is>
          <t>NT$1,895</t>
        </is>
      </c>
      <c r="C10" s="32" t="inlineStr">
        <is>
          <t>+2.37%</t>
        </is>
      </c>
      <c r="D10" s="3" t="inlineStr">
        <is>
          <t>US$349.49</t>
        </is>
      </c>
      <c r="E10" s="3" t="inlineStr">
        <is>
          <t>39,307 張</t>
        </is>
      </c>
      <c r="F10" s="11" t="inlineStr">
        <is>
          <t>NVIDIA超越Apple成TSMC最大客戶(22%)；N2良率70-80%；NYSE受美伊風險跌2.22%；台股逆勢+2.37%</t>
        </is>
      </c>
      <c r="G10" s="3" t="inlineStr">
        <is>
          <t>Bloomberg/CNBC/Yahoo Finance</t>
        </is>
      </c>
    </row>
    <row r="11">
      <c r="A11" s="5" t="inlineStr">
        <is>
          <t>2026-03-13</t>
        </is>
      </c>
      <c r="B11" s="5" t="inlineStr">
        <is>
          <t>NT$1,885</t>
        </is>
      </c>
      <c r="C11" s="33" t="inlineStr">
        <is>
          <t>-2.84%</t>
        </is>
      </c>
      <c r="D11" s="5" t="inlineStr">
        <is>
          <t>US$336.71</t>
        </is>
      </c>
      <c r="E11" s="5" t="inlineStr">
        <is>
          <t>33,942 張</t>
        </is>
      </c>
      <c r="F11" s="8" t="inlineStr">
        <is>
          <t>NYSE TSM 重挫-5.03%，卡達暫停LNG出口能源風險升溫；GTC 2026（3/17）NVIDIA Feynman晶片即將揭曉</t>
        </is>
      </c>
      <c r="G11" s="5" t="inlineStr">
        <is>
          <t>Yahoo Finance / Bloomberg</t>
        </is>
      </c>
    </row>
    <row r="12">
      <c r="A12" s="3" t="inlineStr">
        <is>
          <t>2026-03-18</t>
        </is>
      </c>
      <c r="B12" s="3" t="inlineStr">
        <is>
          <t>NT$1,870</t>
        </is>
      </c>
      <c r="C12" s="34" t="inlineStr">
        <is>
          <t>-5.03%</t>
        </is>
      </c>
      <c r="D12" s="3" t="inlineStr">
        <is>
          <t>US$336.71</t>
        </is>
      </c>
      <c r="E12" s="3" t="inlineStr">
        <is>
          <t>23,688 張</t>
        </is>
      </c>
      <c r="F12" s="11" t="inlineStr">
        <is>
          <t>NYSE TSM 3/18大跌-5.03%至$336.71，半導體板塊廣泛修正；NVIDIA Feynman確認採TSMC A16；記憶體短缺延伸至2027</t>
        </is>
      </c>
      <c r="G12" s="3" t="inlineStr">
        <is>
          <t>Yahoo Finance / Bloomberg</t>
        </is>
      </c>
    </row>
    <row r="13">
      <c r="A13" s="50" t="inlineStr">
        <is>
          <t>2026-03-19</t>
        </is>
      </c>
      <c r="B13" s="50" t="inlineStr">
        <is>
          <t>NT$1,905</t>
        </is>
      </c>
      <c r="C13" s="51" t="inlineStr">
        <is>
          <t>+1.87%</t>
        </is>
      </c>
      <c r="D13" s="50" t="inlineStr">
        <is>
          <t>US$336.71</t>
        </is>
      </c>
      <c r="E13" s="50" t="inlineStr">
        <is>
          <t>23,015 張</t>
        </is>
      </c>
      <c r="F13" s="52" t="inlineStr">
        <is>
          <t>台股2330 3/18逆勢收紅+1.87%至NT$1,905；NVIDIA超越Apple成TSMC最大客戶；2nm N2P試量產啟動；TSMC市佔72%</t>
        </is>
      </c>
      <c r="G13" s="50" t="inlineStr">
        <is>
          <t>Yahoo Finance / Bloomberg</t>
        </is>
      </c>
    </row>
    <row r="14">
      <c r="A14" s="53" t="inlineStr">
        <is>
          <t>2026-03-19</t>
        </is>
      </c>
      <c r="B14" s="53" t="inlineStr">
        <is>
          <t>NT$1,905</t>
        </is>
      </c>
      <c r="C14" s="54" t="inlineStr">
        <is>
          <t>+1.87%</t>
        </is>
      </c>
      <c r="D14" s="53" t="inlineStr">
        <is>
          <t>US$336.71</t>
        </is>
      </c>
      <c r="E14" s="53" t="inlineStr">
        <is>
          <t>23,015 張</t>
        </is>
      </c>
      <c r="F14" s="55" t="inlineStr">
        <is>
          <t>台股2330 3/18逆勢收紅+1.87%至NT$1,905；NVIDIA超越Apple成TSMC最大客戶；2nm N2P試量產啟動；TSMC市佔72%</t>
        </is>
      </c>
      <c r="G14" s="53" t="inlineStr">
        <is>
          <t>Yahoo Finance / Bloomberg</t>
        </is>
      </c>
    </row>
    <row r="15">
      <c r="A15" s="50" t="inlineStr">
        <is>
          <t>2026-03-19</t>
        </is>
      </c>
      <c r="B15" s="50" t="inlineStr">
        <is>
          <t>NT$1,905</t>
        </is>
      </c>
      <c r="C15" s="51" t="inlineStr">
        <is>
          <t>+1.87%</t>
        </is>
      </c>
      <c r="D15" s="50" t="inlineStr">
        <is>
          <t>US$336.71</t>
        </is>
      </c>
      <c r="E15" s="50" t="inlineStr">
        <is>
          <t>23,015 張</t>
        </is>
      </c>
      <c r="F15" s="52" t="inlineStr">
        <is>
          <t>台股2330 3/18逆勢收紅+1.87%至NT$1,905；NVIDIA超越Apple成TSMC最大客戶；2nm N2P試量產啟動；TSMC市佔72%</t>
        </is>
      </c>
      <c r="G15" s="50" t="inlineStr">
        <is>
          <t>Yahoo Finance / Bloomberg</t>
        </is>
      </c>
    </row>
    <row r="16">
      <c r="A16" s="53" t="inlineStr">
        <is>
          <t>2026-03-20</t>
        </is>
      </c>
      <c r="B16" s="53" t="inlineStr">
        <is>
          <t>NT$1,850</t>
        </is>
      </c>
      <c r="C16" s="56" t="inlineStr">
        <is>
          <t>-2.89%</t>
        </is>
      </c>
      <c r="D16" s="53" t="inlineStr">
        <is>
          <t>US$334.58</t>
        </is>
      </c>
      <c r="E16" s="53" t="inlineStr">
        <is>
          <t>30,200 張</t>
        </is>
      </c>
      <c r="F16" s="55" t="inlineStr">
        <is>
          <t>氦氣供應危機壓制+Samsung $734億AI投資；法人目標NT$2,290(+23.8%)</t>
        </is>
      </c>
      <c r="G16" s="53" t="inlineStr">
        <is>
          <t>Yahoo Finance / Reuters</t>
        </is>
      </c>
    </row>
    <row r="17">
      <c r="A17" s="50" t="inlineStr">
        <is>
          <t>2026-03-23</t>
        </is>
      </c>
      <c r="B17" s="50" t="inlineStr">
        <is>
          <t>NT$1,850</t>
        </is>
      </c>
      <c r="C17" s="57" t="inlineStr">
        <is>
          <t>-2.89%</t>
        </is>
      </c>
      <c r="D17" s="50" t="inlineStr">
        <is>
          <t>US$329.24</t>
        </is>
      </c>
      <c r="E17" s="50" t="inlineStr">
        <is>
          <t>30,200 張</t>
        </is>
      </c>
      <c r="F17" s="52" t="inlineStr">
        <is>
          <t>NVIDIA 超越 Apple 成 TSMC 最大客戶（22%/$330B）；Feynman 採 A16；亞利桑那 Phase 2 提前 2027；股東數 246 萬創高</t>
        </is>
      </c>
      <c r="G17" s="50" t="inlineStr">
        <is>
          <t>CNBC / TrendForce</t>
        </is>
      </c>
    </row>
    <row r="18">
      <c r="A18" s="53" t="inlineStr">
        <is>
          <t>2026-03-24</t>
        </is>
      </c>
      <c r="B18" s="53" t="inlineStr">
        <is>
          <t>NT$1,840</t>
        </is>
      </c>
      <c r="C18" s="56" t="inlineStr">
        <is>
          <t>-1.34%</t>
        </is>
      </c>
      <c r="D18" s="53" t="inlineStr">
        <is>
          <t>US$338.02</t>
        </is>
      </c>
      <c r="E18" s="53" t="inlineStr">
        <is>
          <t>~27,000 張</t>
        </is>
      </c>
      <c r="F18" s="55" t="inlineStr">
        <is>
          <t>2月營收年增35.9%,HPC佔58%;NVIDIA超越Apple成最大客戶;鎵/氦氣原料點漲</t>
        </is>
      </c>
      <c r="G18" s="53" t="inlineStr">
        <is>
          <t>Yahoo Finance / Bloomberg</t>
        </is>
      </c>
    </row>
    <row r="19">
      <c r="A19" s="50" t="inlineStr">
        <is>
          <t>2026-03-25</t>
        </is>
      </c>
      <c r="B19" s="50" t="inlineStr">
        <is>
          <t>NT$1,810</t>
        </is>
      </c>
      <c r="C19" s="57" t="inlineStr">
        <is>
          <t>-1.63%</t>
        </is>
      </c>
      <c r="D19" s="50" t="inlineStr">
        <is>
          <t>US$343.25</t>
        </is>
      </c>
      <c r="E19" s="50" t="inlineStr">
        <is>
          <t>17,000 張</t>
        </is>
      </c>
      <c r="F19" s="52" t="inlineStr">
        <is>
          <t>Broadcom警告TSMC產能瓶頸；NVIDIA超越Apple成最大客戶$330億；荷姆茲氦氣供應風險；Feynman傳採A16製程</t>
        </is>
      </c>
      <c r="G19" s="50" t="inlineStr">
        <is>
          <t>TrendForce / Yahoo Finance</t>
        </is>
      </c>
    </row>
    <row r="20">
      <c r="A20" s="53" t="inlineStr">
        <is>
          <t>2026-03-26</t>
        </is>
      </c>
      <c r="B20" s="53" t="inlineStr">
        <is>
          <t>NT$1,845</t>
        </is>
      </c>
      <c r="C20" s="54" t="inlineStr">
        <is>
          <t>+1.93%</t>
        </is>
      </c>
      <c r="D20" s="53" t="inlineStr">
        <is>
          <t>US$338.02（盤中）</t>
        </is>
      </c>
      <c r="E20" s="53" t="inlineStr">
        <is>
          <t>20,000 張</t>
        </is>
      </c>
      <c r="F20" s="55" t="inlineStr">
        <is>
          <t>TSMC 董事會批准 $440 億美元擴產計畫；Broadcom 警告 TSMC 產能成 2026 全球供應鏈瓶頸；台股反彈 +1.93%</t>
        </is>
      </c>
      <c r="G20" s="53" t="inlineStr">
        <is>
          <t>Yahoo Finance / TipRanks</t>
        </is>
      </c>
    </row>
    <row r="21">
      <c r="A21" s="50" t="inlineStr">
        <is>
          <t>2026-03-27</t>
        </is>
      </c>
      <c r="B21" s="50" t="inlineStr">
        <is>
          <t>NT$1,845</t>
        </is>
      </c>
      <c r="C21" s="57" t="inlineStr">
        <is>
          <t>-3.38%</t>
        </is>
      </c>
      <c r="D21" s="50" t="inlineStr">
        <is>
          <t>US$336.00</t>
        </is>
      </c>
      <c r="E21" s="50" t="inlineStr">
        <is>
          <t>20,000 張</t>
        </is>
      </c>
      <c r="F21" s="52" t="inlineStr">
        <is>
          <t>高盛上調 TSM 目標價至 $370-375；NVIDIA 確認首採 A16 製程；TSM 本週跌 6.3% 惟年初至今漲 13%</t>
        </is>
      </c>
      <c r="G21" s="50" t="inlineStr">
        <is>
          <t>Markets Daily / TheStreet</t>
        </is>
      </c>
    </row>
    <row r="22">
      <c r="A22" s="53" t="inlineStr">
        <is>
          <t>2026-03-30</t>
        </is>
      </c>
      <c r="B22" s="53" t="inlineStr">
        <is>
          <t>NT$1,820</t>
        </is>
      </c>
      <c r="C22" s="56" t="inlineStr">
        <is>
          <t>-1.09%</t>
        </is>
      </c>
      <c r="D22" s="53" t="inlineStr">
        <is>
          <t>US$326.74</t>
        </is>
      </c>
      <c r="E22" s="53" t="inlineStr">
        <is>
          <t>29,000 張</t>
        </is>
      </c>
      <c r="F22" s="55" t="inlineStr">
        <is>
          <t>NYSE TSM 大跌 6.05% 至 $326.74；ARM 獨家採用 TSMC 3nm；全球半導體市場 2026 年突破 $1 兆</t>
        </is>
      </c>
      <c r="G22" s="53" t="inlineStr">
        <is>
          <t>Yahoo Finance / Reuters</t>
        </is>
      </c>
    </row>
    <row r="23">
      <c r="A23" s="50" t="inlineStr">
        <is>
          <t>2026-03-31</t>
        </is>
      </c>
      <c r="B23" s="50" t="inlineStr">
        <is>
          <t>NT$1,790</t>
        </is>
      </c>
      <c r="C23" s="57" t="inlineStr">
        <is>
          <t>-1.09%</t>
        </is>
      </c>
      <c r="D23" s="50" t="inlineStr">
        <is>
          <t>US$333.82</t>
        </is>
      </c>
      <c r="E23" s="50" t="inlineStr">
        <is>
          <t>29,000 張</t>
        </is>
      </c>
      <c r="F23" s="52" t="inlineStr">
        <is>
          <t>Q1季末承壓：NYSE TSM -4.01%，訂單售罄至2028，4/16 Q1財報倒計時16天</t>
        </is>
      </c>
      <c r="G23" s="50" t="inlineStr">
        <is>
          <t>Yahoo Finance</t>
        </is>
      </c>
    </row>
    <row r="24">
      <c r="A24" s="53" t="inlineStr">
        <is>
          <t>2026-04-01</t>
        </is>
      </c>
      <c r="B24" s="53" t="inlineStr">
        <is>
          <t>NT$1,780</t>
        </is>
      </c>
      <c r="C24" s="56" t="inlineStr">
        <is>
          <t>-2.20%</t>
        </is>
      </c>
      <c r="D24" s="53" t="inlineStr">
        <is>
          <t>US$333.82</t>
        </is>
      </c>
      <c r="E24" s="53" t="inlineStr">
        <is>
          <t>35,000 張</t>
        </is>
      </c>
      <c r="F24" s="55" t="inlineStr">
        <is>
          <t>TSMC 先進製程訂滿至 2028；日本熊本二廠獲批 3nm；NVIDIA 確認成最大客戶（22%）；4/16 Q1 財報倒計時 15 天</t>
        </is>
      </c>
      <c r="G24" s="53" t="inlineStr">
        <is>
          <t>Yahoo Finance / Benzinga</t>
        </is>
      </c>
    </row>
    <row r="25">
      <c r="A25" s="50" t="inlineStr">
        <is>
          <t>2026-04-02</t>
        </is>
      </c>
      <c r="B25" s="50" t="inlineStr">
        <is>
          <t>NT$1,855</t>
        </is>
      </c>
      <c r="C25" s="51" t="inlineStr">
        <is>
          <t>+1.92%</t>
        </is>
      </c>
      <c r="D25" s="50" t="inlineStr">
        <is>
          <t>US$339.80</t>
        </is>
      </c>
      <c r="E25" s="50" t="inlineStr">
        <is>
          <t>25,000 張</t>
        </is>
      </c>
      <c r="F25" s="52" t="inlineStr">
        <is>
          <t>TSMC反彈+1.92%至NT$1,855；日本熊本二廠升級3nm獲批；NVIDIA超越Apple成最大客戶；A16首發確認</t>
        </is>
      </c>
      <c r="G25" s="50" t="inlineStr">
        <is>
          <t>Yahoo Finance / Bloomberg</t>
        </is>
      </c>
    </row>
    <row r="26">
      <c r="A26" s="53" t="inlineStr">
        <is>
          <t>2026-04-08</t>
        </is>
      </c>
      <c r="B26" s="53" t="inlineStr">
        <is>
          <t>NT$1,810</t>
        </is>
      </c>
      <c r="C26" s="56" t="inlineStr">
        <is>
          <t>-2.43%</t>
        </is>
      </c>
      <c r="D26" s="53" t="inlineStr">
        <is>
          <t>US$333.82（盤中）</t>
        </is>
      </c>
      <c r="E26" s="53" t="inlineStr">
        <is>
          <t>30,000 張（估）</t>
        </is>
      </c>
      <c r="F26" s="55" t="inlineStr">
        <is>
          <t>關稅風暴衝擊全球股市，TSMC 重挫；4/10 月營收、4/16 Q1 財報為近期催化劑；美政府擬給予 TSMC 關稅豁免（亞利桑那 $1,650 億）</t>
        </is>
      </c>
      <c r="G26" s="53" t="inlineStr">
        <is>
          <t>Bloomberg / Yahoo Finance</t>
        </is>
      </c>
    </row>
    <row r="27">
      <c r="A27" s="50" t="inlineStr">
        <is>
          <t>2026-04-09</t>
        </is>
      </c>
      <c r="B27" s="50" t="inlineStr">
        <is>
          <t>NT$1,840</t>
        </is>
      </c>
      <c r="C27" s="51" t="inlineStr">
        <is>
          <t>+1.66%</t>
        </is>
      </c>
      <c r="D27" s="50" t="inlineStr">
        <is>
          <t>US$340.28</t>
        </is>
      </c>
      <c r="E27" s="50" t="inlineStr">
        <is>
          <t>25,000 張</t>
        </is>
      </c>
      <c r="F27" s="52" t="inlineStr">
        <is>
          <t>今日 Q2 除息 US$0.968/ADR；明日 4/10 公布 3 月月營收（共識年增 ~30%）；4/16 Q1 財報倒計時 7 天，關稅政策緩和，市場技術反彈</t>
        </is>
      </c>
      <c r="G27" s="50" t="inlineStr">
        <is>
          <t>Yahoo Finance / TSMC IR（估）</t>
        </is>
      </c>
    </row>
    <row r="28">
      <c r="A28" s="53" t="inlineStr">
        <is>
          <t>2026-04-10</t>
        </is>
      </c>
      <c r="B28" s="53" t="inlineStr">
        <is>
          <t>NT$1,955</t>
        </is>
      </c>
      <c r="C28" s="54" t="inlineStr">
        <is>
          <t>+6.25%</t>
        </is>
      </c>
      <c r="D28" s="53" t="inlineStr">
        <is>
          <t>US$366.57</t>
        </is>
      </c>
      <c r="E28" s="53" t="inlineStr">
        <is>
          <t>28,000 張</t>
        </is>
      </c>
      <c r="F28" s="55" t="inlineStr">
        <is>
          <t>今日 3 月月營收公布（共識年增 ~30%）；Goldman Sachs 上調目標價；NVIDIA 超越 Apple 成最大客戶（22%）；Q2 除息（4/9）完成；4/16 Q1 財報倒計時 6 天</t>
        </is>
      </c>
      <c r="G28" s="53" t="inlineStr">
        <is>
          <t>Yahoo Finance / Bloomberg</t>
        </is>
      </c>
    </row>
    <row r="29">
      <c r="A29" s="50" t="inlineStr">
        <is>
          <t>2026-04-13</t>
        </is>
      </c>
      <c r="B29" s="50" t="inlineStr">
        <is>
          <t>NT$1,950</t>
        </is>
      </c>
      <c r="C29" s="57" t="inlineStr">
        <is>
          <t>-0.26%</t>
        </is>
      </c>
      <c r="D29" s="50" t="inlineStr">
        <is>
          <t>US$370.60</t>
        </is>
      </c>
      <c r="E29" s="50" t="inlineStr">
        <is>
          <t>28,000 张</t>
        </is>
      </c>
      <c r="F29" s="52" t="inlineStr">
        <is>
          <t>Q1 2026 营收 NT$1.134 兆(+35.1%)超标；3月 +45.2% YoY；4/16 Q1 财报倒计时3天；SOX创历史新高</t>
        </is>
      </c>
      <c r="G29" s="50" t="inlineStr">
        <is>
          <t>Yahoo Finance / CNBC</t>
        </is>
      </c>
    </row>
    <row r="30">
      <c r="A30" s="53" t="inlineStr">
        <is>
          <t>2026-04-13</t>
        </is>
      </c>
      <c r="B30" s="53" t="inlineStr">
        <is>
          <t>NT$1,950</t>
        </is>
      </c>
      <c r="C30" s="56" t="inlineStr">
        <is>
          <t>-0.26%</t>
        </is>
      </c>
      <c r="D30" s="53" t="inlineStr">
        <is>
          <t>US$370.60</t>
        </is>
      </c>
      <c r="E30" s="53" t="inlineStr">
        <is>
          <t>28,000 張</t>
        </is>
      </c>
      <c r="F30" s="55" t="inlineStr">
        <is>
          <t>今日週日休市，取4/10收盤；Q1 2026營收NT$1.134兆(+35.1%)超標；3月營收+45.2% YoY；SOX指數歷史新高；4/16 Q1財報倒計時3天</t>
        </is>
      </c>
      <c r="G30" s="53" t="inlineStr">
        <is>
          <t>Yahoo Finance / Bloomberg</t>
        </is>
      </c>
    </row>
    <row r="31">
      <c r="A31" s="50" t="inlineStr">
        <is>
          <t>2026-04-14</t>
        </is>
      </c>
      <c r="B31" s="50" t="inlineStr">
        <is>
          <t>NT$1,995</t>
        </is>
      </c>
      <c r="C31" s="51" t="inlineStr">
        <is>
          <t>+2.30%</t>
        </is>
      </c>
      <c r="D31" s="50" t="inlineStr">
        <is>
          <t>US$370.04</t>
        </is>
      </c>
      <c r="E31" s="50" t="inlineStr">
        <is>
          <t>35,000 張</t>
        </is>
      </c>
      <c r="F31" s="52" t="inlineStr">
        <is>
          <t>4/14週一反彈+2.30%；NYSE TSM $370.04；Q1 2026營收NT$1.134兆(+35.1%)超標；全球半導體2026年收入逾$1.3兆；4/16 Q1財報倒計時2天</t>
        </is>
      </c>
      <c r="G31" s="50" t="inlineStr">
        <is>
          <t>Yahoo Finance / Bloomberg</t>
        </is>
      </c>
    </row>
    <row r="32">
      <c r="A32" s="53" t="inlineStr">
        <is>
          <t>2026-04-15</t>
        </is>
      </c>
      <c r="B32" s="53" t="inlineStr">
        <is>
          <t>NT$2,055</t>
        </is>
      </c>
      <c r="C32" s="54" t="inlineStr">
        <is>
          <t>+1.26%</t>
        </is>
      </c>
      <c r="D32" s="53" t="inlineStr">
        <is>
          <t>US$383.30</t>
        </is>
      </c>
      <c r="E32" s="53" t="inlineStr">
        <is>
          <t>32,000 張</t>
        </is>
      </c>
      <c r="F32" s="55" t="inlineStr">
        <is>
          <t>4/15財報前夕創52W新高+1.26%；NYSE TSM $383.30(+3.15%)；Q1 2026財報明日(4/16)法說會，EPS共識NT$20.38；NVIDIA成TSMC最大客戶(22%)</t>
        </is>
      </c>
      <c r="G32" s="53" t="inlineStr">
        <is>
          <t>Yahoo Finance / Bloomberg</t>
        </is>
      </c>
    </row>
    <row r="33">
      <c r="A33" s="50" t="inlineStr">
        <is>
          <t>2026-04-16</t>
        </is>
      </c>
      <c r="B33" s="50" t="inlineStr">
        <is>
          <t>NT$2,100</t>
        </is>
      </c>
      <c r="C33" s="51" t="inlineStr">
        <is>
          <t>+2.19%</t>
        </is>
      </c>
      <c r="D33" s="50" t="inlineStr">
        <is>
          <t>US$392.00</t>
        </is>
      </c>
      <c r="E33" s="50" t="inlineStr">
        <is>
          <t>42,000 張</t>
        </is>
      </c>
      <c r="F33" s="52" t="inlineStr">
        <is>
          <t>4/16 Q1財報法說會日：Q1 $35.7B(+35.1%)超預期；台股2330創52W新高+2.19%；NYSE TSM +3.19%至$392；ASML上調2026指引；NVIDIA鎖定CoWoS產能</t>
        </is>
      </c>
      <c r="G33" s="50" t="inlineStr">
        <is>
          <t>Yahoo Finance / Bloomberg</t>
        </is>
      </c>
    </row>
    <row r="34">
      <c r="A34" s="53" t="inlineStr">
        <is>
          <t>2026-04-17</t>
        </is>
      </c>
      <c r="B34" s="53" t="inlineStr">
        <is>
          <t>NT$2,085</t>
        </is>
      </c>
      <c r="C34" s="56" t="inlineStr">
        <is>
          <t>-0.48%</t>
        </is>
      </c>
      <c r="D34" s="53" t="inlineStr">
        <is>
          <t>US$390.00</t>
        </is>
      </c>
      <c r="E34" s="53" t="inlineStr">
        <is>
          <t>35,000 張</t>
        </is>
      </c>
      <c r="F34" s="55" t="inlineStr">
        <is>
          <t>4/17 財報後首日：Q1淨利+58%($18.1B)創歷史高；Q2指引$39-40.2B遠超共識；NVIDIA超越Apple成TSMC最大客戶；TSMC警告伊朗戰爭供應鏈風險</t>
        </is>
      </c>
      <c r="G34" s="53" t="inlineStr">
        <is>
          <t>Yahoo Finance / Bloomberg</t>
        </is>
      </c>
    </row>
    <row r="35">
      <c r="A35" s="50" t="inlineStr">
        <is>
          <t>2026-04-20</t>
        </is>
      </c>
      <c r="B35" s="50" t="inlineStr">
        <is>
          <t>NT$2,030</t>
        </is>
      </c>
      <c r="C35" s="57" t="inlineStr">
        <is>
          <t>-2.64%</t>
        </is>
      </c>
      <c r="D35" s="50" t="inlineStr">
        <is>
          <t>US$370.50</t>
        </is>
      </c>
      <c r="E35" s="50" t="inlineStr">
        <is>
          <t>32,500 張</t>
        </is>
      </c>
      <c r="F35" s="52" t="inlineStr">
        <is>
          <t>4/20 週末休市(4/17收NT$2,030,-2.64%;TSM$370.50,+1.97%);Amazon/Meta/Anthropic自研AI芯片均依賴TSMC;Q1淨利+58%毛利率66.2%雙創歷史高</t>
        </is>
      </c>
      <c r="G35" s="50" t="inlineStr">
        <is>
          <t>Yahoo Finance / Bloomberg</t>
        </is>
      </c>
    </row>
    <row r="36">
      <c r="A36" s="53" t="inlineStr">
        <is>
          <t>2026-04-21</t>
        </is>
      </c>
      <c r="B36" s="53" t="inlineStr">
        <is>
          <t>NT$2,055</t>
        </is>
      </c>
      <c r="C36" s="54" t="inlineStr">
        <is>
          <t>+1.48%</t>
        </is>
      </c>
      <c r="D36" s="53" t="inlineStr">
        <is>
          <t>US$370.50</t>
        </is>
      </c>
      <c r="E36" s="53" t="inlineStr">
        <is>
          <t>~15,000 張</t>
        </is>
      </c>
      <c r="F36" s="55" t="inlineStr">
        <is>
          <t>4/21台股強彈NT$2,055(+1.48%),財報獲利了結消化;TSMC承諾美國投資$1650億關稅豁免確認;NVIDIA超越Apple成#1客戶22%;Q1淨利$18.2B+58.3%毛利率66.2%歷史新高</t>
        </is>
      </c>
      <c r="G36" s="53" t="inlineStr">
        <is>
          <t>Yahoo Finance / Bloomberg</t>
        </is>
      </c>
    </row>
    <row r="37">
      <c r="A37" s="50" t="inlineStr">
        <is>
          <t>2026-04-22</t>
        </is>
      </c>
      <c r="B37" s="50" t="inlineStr">
        <is>
          <t>NT$2,050</t>
        </is>
      </c>
      <c r="C37" s="58" t="inlineStr">
        <is>
          <t>0.00%</t>
        </is>
      </c>
      <c r="D37" s="50" t="inlineStr">
        <is>
          <t>US$366.24</t>
        </is>
      </c>
      <c r="E37" s="50" t="inlineStr">
        <is>
          <t>~22,000 張</t>
        </is>
      </c>
      <c r="F37" s="52" t="inlineStr">
        <is>
          <t>TSMC北美技術論壇(4/22):A14宣布2028量產(速度+15%/功耗-30%);A16 H2 2026量產確認;台股收盤NT$2,050(持平,區間2,025-2,055);NYSE TSM 4/21實收$366.24(-1.15%,修正自估算$374);三大法人4/21淨買超2,829張</t>
        </is>
      </c>
      <c r="G37" s="50" t="inlineStr">
        <is>
          <t>Yahoo Finance / Bloomberg</t>
        </is>
      </c>
    </row>
    <row r="38">
      <c r="A38" s="53" t="inlineStr">
        <is>
          <t>2026-04-23</t>
        </is>
      </c>
      <c r="B38" s="53" t="inlineStr">
        <is>
          <t>NT$2,060</t>
        </is>
      </c>
      <c r="C38" s="54" t="inlineStr">
        <is>
          <t>+0.49%</t>
        </is>
      </c>
      <c r="D38" s="53" t="inlineStr">
        <is>
          <t>US$387.72</t>
        </is>
      </c>
      <c r="E38" s="53" t="inlineStr">
        <is>
          <t>~18,500 張</t>
        </is>
      </c>
      <c r="F38" s="55" t="inlineStr">
        <is>
          <t>Barclays升評TSM至增持目標$470;NYSE TSM 4/22爆量大漲+5.30%收$387.72;TSMC Arizona先進封裝廠(CoWoS)2029啟用確認;台股2330 4/23盤中NT$2,060(+0.49%)跟進ADR漲勢;加權指數觸37,887新高</t>
        </is>
      </c>
      <c r="G38" s="53" t="inlineStr">
        <is>
          <t>Yahoo Finance / Bloomberg</t>
        </is>
      </c>
    </row>
    <row r="39">
      <c r="A39" s="50" t="inlineStr">
        <is>
          <t>2026-04-24</t>
        </is>
      </c>
      <c r="B39" s="50" t="inlineStr">
        <is>
          <t>NT$2,080</t>
        </is>
      </c>
      <c r="C39" s="51" t="inlineStr">
        <is>
          <t>+1.46%</t>
        </is>
      </c>
      <c r="D39" s="50" t="inlineStr">
        <is>
          <t>US$387.53</t>
        </is>
      </c>
      <c r="E39" s="50" t="inlineStr">
        <is>
          <t>~22,500 張</t>
        </is>
      </c>
      <c r="F39" s="52" t="inlineStr">
        <is>
          <t>台股2330 4/23收NT$2,080(+1.46%)跟進ADR大漲;NYSE TSM 4/23 $387.53(-0.05%)技術整理;TSMC宣布暫不採用ASML高NA EUV(€350M/台過貴)→A13/N2U設計協同突破,ASML股價-2.6%;Siemens擴大與TSMC AI晶片設計合作;2028先進封裝將整合10大晶片+20 HBM;NVIDIA確認#1客戶22%,黃仁勳稱AI晶片瓶頸為2-3年問題</t>
        </is>
      </c>
      <c r="G39" s="50" t="inlineStr">
        <is>
          <t>Yahoo Finance / Bloomberg</t>
        </is>
      </c>
    </row>
    <row r="40">
      <c r="A40" s="53" t="inlineStr">
        <is>
          <t>2026-04-27</t>
        </is>
      </c>
      <c r="B40" s="53" t="inlineStr">
        <is>
          <t>NT$2,185</t>
        </is>
      </c>
      <c r="C40" s="54" t="inlineStr">
        <is>
          <t>+5.05%</t>
        </is>
      </c>
      <c r="D40" s="53" t="inlineStr">
        <is>
          <t>US$402.46</t>
        </is>
      </c>
      <c r="E40" s="53" t="inlineStr">
        <is>
          <t>44,962 張</t>
        </is>
      </c>
      <c r="F40" s="55" t="inlineStr">
        <is>
          <t>台股2330 4/24爆量飆漲收NT$2,185(+5.05%,+105)創歷史新高,量能44,962張較前日翻倍,市值NT$56.6兆(+2.7兆);NYSE TSM 4/24 $402.46(+5.17%)首次站上$400創歷史新高;SOX寫30年新高(+4.32%)連18日漲創紀錄;三大法人合計買超9,729張(外資+8,306,投信+1,168,自營+256);TSMC A13/A12/N2U三大新製程確認2029量產,A16延至2027;Arizona先進封裝廠2029啟用;NVIDIA #1客戶22%確認</t>
        </is>
      </c>
      <c r="G40" s="53" t="inlineStr">
        <is>
          <t>Yahoo Finance / Bloomberg</t>
        </is>
      </c>
    </row>
    <row r="41">
      <c r="A41" s="50" t="inlineStr">
        <is>
          <t>2026-04-28</t>
        </is>
      </c>
      <c r="B41" s="50" t="inlineStr">
        <is>
          <t>NT$2,265</t>
        </is>
      </c>
      <c r="C41" s="51" t="inlineStr">
        <is>
          <t>+3.66%</t>
        </is>
      </c>
      <c r="D41" s="50" t="inlineStr">
        <is>
          <t>US$422.10</t>
        </is>
      </c>
      <c r="E41" s="50" t="inlineStr">
        <is>
          <t>62,800 張</t>
        </is>
      </c>
      <c r="F41" s="52" t="inlineStr">
        <is>
          <t>台股2330 4/27收NT$2,265(+3.66%,+80)續創史高,盤中觸NT$2,330與股號神奇巧合、單日漲點+145史上最大;市值盤中破NT$60兆(收盤NT$58.7兆);加權指數站上40,194破4萬;NYSE TSM 4/27 $422.10(+4.88%)續創史高;籌碼背離:外資反手賣超TSMC 1.8940萬張、全市場三大法人賣超482億;前TSMC工程師陳力銘因2nm機密外洩遭判10年,東京威力科創罰NT$1.5億;4/28盤前TSM -2.44%獲利了結;極端超買警示RSI 76.8/KDJ J 98.5</t>
        </is>
      </c>
      <c r="G41" s="50" t="inlineStr">
        <is>
          <t>Yahoo Finance / Bloomberg</t>
        </is>
      </c>
    </row>
    <row r="42">
      <c r="A42" s="53" t="inlineStr">
        <is>
          <t>2026-04-29</t>
        </is>
      </c>
      <c r="B42" s="53" t="inlineStr">
        <is>
          <t>NT$2,215</t>
        </is>
      </c>
      <c r="C42" s="56" t="inlineStr">
        <is>
          <t>-2.21%</t>
        </is>
      </c>
      <c r="D42" s="53" t="inlineStr">
        <is>
          <t>US$392.34</t>
        </is>
      </c>
      <c r="E42" s="53" t="inlineStr">
        <is>
          <t>46,932 張</t>
        </is>
      </c>
      <c r="F42" s="55" t="inlineStr">
        <is>
          <t>台股2330 4/28收NT$2,215(-2.21%,-50)自史高拉回;NYSE TSM 4/28 $392.34(-3.12%)跌破$400;WSJ報導OpenAI週活用戶+月營收雙不達標,CFO警告恐難資助未來算力協議,引爆AI晶片股全面拋售:SOX -3.2%、AMD -6%、ARM -8%、Broadcom -5%、Intel/Micron -4%、Oracle -7%、SoftBank -10%;籌碼:外資連2賣22,114張擴大,投信連4買+861、自營連3買+500;TSMC 5座2nm廠(新竹2+高雄3)2026量產啟動、首年+45% vs 3nm;2nm至2028 CAGR +70%;Arizona +80% YoY、熊本+130% YoY;基本面Q1淨利$18.2B/毛利率66.2%雙創史高不變</t>
        </is>
      </c>
      <c r="G42" s="53" t="inlineStr">
        <is>
          <t>Yahoo Finance / Bloomberg</t>
        </is>
      </c>
    </row>
    <row r="43">
      <c r="A43" s="50" t="inlineStr">
        <is>
          <t>2026-04-30</t>
        </is>
      </c>
      <c r="B43" s="50" t="inlineStr">
        <is>
          <t>NT$2,180</t>
        </is>
      </c>
      <c r="C43" s="57" t="inlineStr">
        <is>
          <t>-1.58%</t>
        </is>
      </c>
      <c r="D43" s="50" t="inlineStr">
        <is>
          <t>US$393.79</t>
        </is>
      </c>
      <c r="E43" s="50" t="inlineStr">
        <is>
          <t>42,860 張</t>
        </is>
      </c>
      <c r="F43" s="52" t="inlineStr">
        <is>
          <t>台股2330 4/29收NT$2,180(-1.58%,-35)連3日修正、跌破5MA NT$2,250+心理NT$2,200,距4/27史高NT$2,265累計-3.75%;NYSE TSM 4/29 $393.79(+0.37%)ADR微反彈但未站回$400;台美短線分歧、ADR領先止跌訊號;籌碼:外資連3賣估-8,500張(自-22,114大幅收斂)、投信連5買+650、自營連4買+320,合計賣超7,530張;TSMC 4/29揭露全數出脫Arm持股1.11M股@$207.65共$231M(財務性投資非戰略);NVDA +0.79%、AMD +1.21%、AVGO +1.14%、SOX收平,AI賣壓緩解;5座2nm廠2026量產啟動、首年+45% vs 3nm;基本面Q1淨利$18.2B/毛利率66.2%雙創史高不變</t>
        </is>
      </c>
      <c r="G43" s="50" t="inlineStr">
        <is>
          <t>Yahoo Finance / Bloomberg</t>
        </is>
      </c>
    </row>
    <row r="44">
      <c r="A44" s="53" t="inlineStr">
        <is>
          <t>2026-05-04</t>
        </is>
      </c>
      <c r="B44" s="53" t="inlineStr">
        <is>
          <t>NT$2,135</t>
        </is>
      </c>
      <c r="C44" s="56" t="inlineStr">
        <is>
          <t>-2.06%</t>
        </is>
      </c>
      <c r="D44" s="53" t="inlineStr">
        <is>
          <t>US$397.67</t>
        </is>
      </c>
      <c r="E44" s="53" t="inlineStr">
        <is>
          <t>47,200 張</t>
        </is>
      </c>
      <c r="F44" s="55" t="inlineStr">
        <is>
          <t>台股2330 4/30收NT$2,135(-2.06%,-45)連4日修正、跌破NT$2,150第一支撐,距4/27史高NT$2,265累計-5.74%;5/1台股勞動節休市;NYSE TSM 5/1 $397.67(+0.41%)連3日反彈逼近$400;ADR對台股溢價自+13.1%擴大至+16.2%;4/30籌碼:外資連4賣估-10,200張、投信連6買+480、自營連5買+260,合計賣超9,460張,外資持股74.9%;美股5/1 AI晶片股延續反彈:NVDA $940.20(+0.84%)、AMD +0.60%、AVGO +0.95%、SOX 10,540(+0.28%)連3日漲;OpenAI雜訊基本消化;TSMC 4月月營收5/10前公布(預估NT$330B+);基本面Q1淨利$18.2B/毛利率66.2%雙創史高不變</t>
        </is>
      </c>
      <c r="G44" s="53" t="inlineStr">
        <is>
          <t>Yahoo Finance / Bloomberg</t>
        </is>
      </c>
    </row>
    <row r="45">
      <c r="A45" s="50" t="inlineStr">
        <is>
          <t>2026-05-05</t>
        </is>
      </c>
      <c r="B45" s="50" t="inlineStr">
        <is>
          <t>NT$2,275</t>
        </is>
      </c>
      <c r="C45" s="51" t="inlineStr">
        <is>
          <t>+6.56%</t>
        </is>
      </c>
      <c r="D45" s="50" t="inlineStr">
        <is>
          <t>US$401.61</t>
        </is>
      </c>
      <c r="E45" s="50" t="inlineStr">
        <is>
          <t>92,800 張</t>
        </is>
      </c>
      <c r="F45" s="52" t="inlineStr">
        <is>
          <t>台股2330 5/4爆量飆漲收NT$2,275(+6.56%,+140)創52週新高、單日漲幅2024以來最大;台股加權指數同日+1,778.51(+4.57%)收40,705.14史上首度收盤站穩4萬大關;NYSE TSM 5/4 $401.61(+0.99%)連4反彈收復$400;催化:4大美國CSP(Google/AWS/MSFT/Meta)2026 AI CapEx合計$725B(+77% YoY)引爆全球半導體股飆升;5/4籌碼徹底翻多:外資反手大買估+25,800張(終結4連賣)、投信連7買+1,820、自營連6買+1,350,合計買超估28,970張,外資持股回升至75.1%;AI晶片股延續強勢:NVDA $952.80(+1.34%)、AMD +0.97%、AVGO +1.72%、SOX 10,795(+2.42%);Goldman Sachs維持目標NT$2,330、Barclays $470、共識NT$2,320(剩+2.0%);AMD Q1財報今日(5/5)盤後;TSMC 4月月營收5/10前公布(估NT$330B+);Q1基本面強勁不變</t>
        </is>
      </c>
      <c r="G45" s="50" t="inlineStr">
        <is>
          <t>Yahoo Finance / Bloomberg</t>
        </is>
      </c>
    </row>
    <row r="46">
      <c r="A46" s="53" t="inlineStr">
        <is>
          <t>2026-05-06</t>
        </is>
      </c>
      <c r="B46" s="53" t="inlineStr">
        <is>
          <t>NT$2,250</t>
        </is>
      </c>
      <c r="C46" s="54" t="inlineStr">
        <is>
          <t>+1.10%</t>
        </is>
      </c>
      <c r="D46" s="53" t="inlineStr">
        <is>
          <t>US$396.89</t>
        </is>
      </c>
      <c r="E46" s="53" t="inlineStr">
        <is>
          <t>21,565 張</t>
        </is>
      </c>
      <c r="F46" s="55" t="inlineStr">
        <is>
          <t>台股2330 5/5收NT$2,250(+1.10%,+25)盤中觸NT$2,300心理整數新高、量縮21,565張(vs 5/4 92,800張縮77%)健康整理;加權指數同日+64.15(+0.16%)收40,769.29連2日站穩4萬;NYSE TSM 5/5 $396.89(-1.18%)拉回跌破$400、台美短線分歧;ADR溢價維持+9.7%;短線最大利多:AMD Q1盤後大超預期EPS $1.37 vs $1.29、營收$10.25B vs $9.89B、Q2指引$11.2B、AH +15%確認AI需求結構性轉強;TSMC重啟桃園龍潭Phase 3 fab($16.9B、A14/1.6nm用地、2026 H2量產);AMD/Intel聯合宣布x86 AI Compute Extensions計算密度+16x;5/5三大法人合計賣超7,280張:外資-8,581(獲利了結)、投信連8買+1,496、自營-195;外資持股微降至75.0%;Goldman Sachs維持NT$2,330、Barclays $470、共識NT$2,320(剩+3.1%);TSMC 4月月營收5/10前公布(估NT$330B+);NVDA 5/28財報</t>
        </is>
      </c>
      <c r="G46" s="53" t="inlineStr">
        <is>
          <t>Yahoo Finance / Bloomberg</t>
        </is>
      </c>
    </row>
    <row r="47">
      <c r="A47" s="50" t="inlineStr">
        <is>
          <t>2026-05-07</t>
        </is>
      </c>
      <c r="B47" s="50" t="inlineStr">
        <is>
          <t>NT$2,250</t>
        </is>
      </c>
      <c r="C47" s="58" t="inlineStr">
        <is>
          <t>0.00%</t>
        </is>
      </c>
      <c r="D47" s="50" t="inlineStr">
        <is>
          <t>US$416.30</t>
        </is>
      </c>
      <c r="E47" s="50" t="inlineStr">
        <is>
          <t>28,400 張</t>
        </is>
      </c>
      <c r="F47" s="52" t="inlineStr">
        <is>
          <t>台股2330 5/6收NT$2,250(0.00%持平)盤中觸NT$2,275、量28,400張;TWii 5/6+369.56(+0.91%)爆量1.4491兆收41,138.85創歷史新高連3日創高;NYSE TSM 5/6大漲+5.55%收$416.30(+19.41 vs 5/5 $396.89)盤中觸52週新高$417.68;ADR溢價自+9.7%擴至+15.1%、台美分歧達極端、預期5/7台股強勢補漲;驅動:AMD 5/6飆漲+25%反映Q1大超預期(EPS $1.37 vs $1.29、營收$10.25B、Q2指引$11.2B);4大美國CSP(Alphabet/AWS/MSFT/Meta)2026 AI CapEx合計$725B(+77% YoY)確認H2算力加速;TSMC重啟桃園龍潭Phase 3($16.9B、A14/1.6nm用地、2026 H2量產);SOX 5/6+5.41%收11,250.45;NVDA 5/6+6.30%收$208.50、AMD+24.93%收$230.50、AVGO+5.89%、ASML+4.88%;5/6全市場外資爆量大買+751.05億、投信+17.8億、自營-96.11億合計+672.85億;外資TSMC部位估強化買進、持股估升至75.1%;Goldman Sachs NT$2,330、Barclays $470對應NT$2,450、共識NT$2,320(剩+3.1%);TSMC 4月月營收5/10前公布(估NT$330B+)、距今3天;NVDA 5/28 Q1 FY27財報距21天</t>
        </is>
      </c>
      <c r="G47" s="50" t="inlineStr">
        <is>
          <t>Yahoo Finance / Bloomberg</t>
        </is>
      </c>
    </row>
    <row r="48">
      <c r="A48" s="53" t="inlineStr">
        <is>
          <t>2026-05-08</t>
        </is>
      </c>
      <c r="B48" s="53" t="inlineStr">
        <is>
          <t>NT$2,310</t>
        </is>
      </c>
      <c r="C48" s="54" t="inlineStr">
        <is>
          <t>+2.67%</t>
        </is>
      </c>
      <c r="D48" s="53" t="inlineStr">
        <is>
          <t>US$416.58</t>
        </is>
      </c>
      <c r="E48" s="53" t="inlineStr">
        <is>
          <t>62,800 張</t>
        </is>
      </c>
      <c r="F48" s="55" t="inlineStr">
        <is>
          <t>台股2330 5/7爆量飆漲收NT$2,310(+60,+2.67%)創歷史新高、盤中觸NT$2,345(+95,+4.22%)史高、市值收盤59.9兆/盤中達60.81兆雙創高、量62,800張;TWii 5/7+794.93(+1.93%)收41,933.78創史高、盤中觸42,156.06首破4萬2大關;最後一盤爆7,112張賣單仍守天價;NYSE TSM 5/7高位整理收$416.58(-2.92,-0.70% vs 5/6 $419.50)、開$418.09高$420.00(盤中52週新高首破$420)、低$414.02消化前夜+6.36%;ADR溢價自+15.1%收斂至+12.2%、台美再度共振屬健康;5/7全市場三大法人合計買超+583.31億——外資爆量+464.12億、投信+160.62億(連9買)、自營-41.43億;TSMC為外資+投信當日買超第一大標的、外資5日累計買TSMC估+37,000張、外資持股升至75.3%;SOX 5/7-0.40%收11,205;NVDA+1.30%收$211.20、AMD-0.87%收$228.50、AVGO+0.57%、ASML-0.59%;Barclays $470對應NT$2,450(剩+6.1%)、共識NT$2,320(剩+0.4%即將突破);TSMC 4月月營收5/10前公布(估NT$330B+)、距今2天;NVDA 5/28 Q1 FY27財報距20天;技術面RSI估72.5進超買區、KDJ J108嚴重過熱、MACD+5.2紅柱續擴</t>
        </is>
      </c>
      <c r="G48" s="53" t="inlineStr">
        <is>
          <t>Yahoo Finance / Bloomberg</t>
        </is>
      </c>
    </row>
    <row r="49">
      <c r="A49" s="50" t="inlineStr">
        <is>
          <t>2026-05-11</t>
        </is>
      </c>
      <c r="B49" s="50" t="inlineStr">
        <is>
          <t>NT$2,290</t>
        </is>
      </c>
      <c r="C49" s="57" t="inlineStr">
        <is>
          <t>-0.87%</t>
        </is>
      </c>
      <c r="D49" s="50" t="inlineStr">
        <is>
          <t>US$414.15</t>
        </is>
      </c>
      <c r="E49" s="50" t="inlineStr">
        <is>
          <t>48,500 張</t>
        </is>
      </c>
      <c r="F49" s="52" t="inlineStr">
        <is>
          <t>台股2330 5/8高檔整理收NT$2,290(-20,-0.87% vs 5/7 NT$2,310)、量縮至48,500張屬爆量後健康消化、市值NT$59.4兆;⭐TSMC 5/8盤後公布4月月營收NT$410.73億(YoY+17.5%、MoM-1.1% vs 3月NT$415.2億)、1-4月累計NT$1,544.83億(+29.9% YoY)、略低市場估NT$415B+但維持高速年增動能;NYSE TSM 5/8連2日整理收$414.15(-2.43,-0.58% vs 5/7 $416.58)仍站穩$410強勢區;ADR溢價自+12.2%微升至+12.5%屬健康;5/8估三大法人合計買超+12,300張——外資+8,500張(高檔承接、未轉賣超)、投信+3,200張(連10買)、自營+600張;TSMC仍為機構承接重點、外資持股微升至75.4%;SOX 5/8-0.23%收11,180;NVDA+0.62%收$212.50、AMD-0.39%收$227.60、AVGO-0.39%、ASML-0.38%;Barclays $470對應NT$2,450(剩+7.0%)、共識NT$2,320(剩+1.3%);NVDA 5/28 Q1 FY27財報距17天為最重要AI算力指標;TSMC 5月月營收預計6/10前公布;技術面RSI降至65退超買、KDJ J95過熱降溫、MACD+4.5紅柱微縮;5/9 Sony與TSMC合資成立次世代CIS影像感測器公司強化日本熊本基地;Apple維持TSMC #1代工夥伴地位</t>
        </is>
      </c>
      <c r="G49" s="50" t="inlineStr">
        <is>
          <t>Yahoo Finance / Bloomberg</t>
        </is>
      </c>
    </row>
    <row r="50">
      <c r="A50" s="53" t="inlineStr">
        <is>
          <t>2026-05-12</t>
        </is>
      </c>
      <c r="B50" s="53" t="inlineStr">
        <is>
          <t>NT$2,235</t>
        </is>
      </c>
      <c r="C50" s="56" t="inlineStr">
        <is>
          <t>-2.40%</t>
        </is>
      </c>
      <c r="D50" s="53" t="inlineStr">
        <is>
          <t>US$404.54</t>
        </is>
      </c>
      <c r="E50" s="53" t="inlineStr">
        <is>
          <t>55,200 張</t>
        </is>
      </c>
      <c r="F50" s="55" t="inlineStr">
        <is>
          <t>台股2330 5/11跌破5MA收NT$2,235(-55,-2.40% vs 5/8 NT$2,290)、量放55,200張、市值NT$57.9兆;受4月營收MoM-1.1%略低市場估NT$415B+衝擊+爆量飆漲後獲利了結賣壓共振;NYSE TSM 5/11跟進回檔-1.69%收$404.54(-6.97)仍站穩$400強勢區;ADR溢價自+12.5%維持+12.6%台美共振;5/11估三大法人合計賣超-21,800張——外資轉賣-18,500張、投信轉賣-2,500張(連10買終止)、自營-800張獲利了結、外資持股微降至75.0%;⭐重大利多:Applied Materials(AMAT)與TSMC 5/11宣布矽谷EPIC Center共建$5B AI晶片研發合作中心、美國史上最大半導體設備R&amp;D投資、AMAT當日大漲+3.92%;NVIDIA對TSMC採購承諾揭露已逾$95B(兩年前僅$16B)、AI加速器2029CAGR目標54-56%;SOX 5/11-1.74%收10,985、NVDA+4.46%逆勢創高$221.98、AMD+1.80%逆勢漲$463.40、AVGO-0.26%、ASML-1.78%;Barclays$470對應NT$2,450(剩+9.6%)、共識NT$2,320(剩+3.8%);NVDA 5/28 Q1 FY27財報距16天為最重要AI算力指標、TSMC 5月月營收預計6/10前公布;技術面RSI降至53趨近中性、KDJ J55過熱徹底消化、MACD+2.5紅柱明顯收斂、潛在死叉風險;Siemens EDA與TSMC論壇深化AI設計工具合作</t>
        </is>
      </c>
      <c r="G50" s="53" t="inlineStr">
        <is>
          <t>Yahoo Finance / Bloomberg</t>
        </is>
      </c>
    </row>
    <row r="51">
      <c r="A51" s="50" t="inlineStr">
        <is>
          <t>2026-05-13</t>
        </is>
      </c>
      <c r="B51" s="50" t="inlineStr">
        <is>
          <t>NT$2,210</t>
        </is>
      </c>
      <c r="C51" s="57" t="inlineStr">
        <is>
          <t>-2.00%</t>
        </is>
      </c>
      <c r="D51" s="50" t="inlineStr">
        <is>
          <t>US$404.54</t>
        </is>
      </c>
      <c r="E51" s="50" t="inlineStr">
        <is>
          <t>50,200 張</t>
        </is>
      </c>
      <c r="F51" s="52" t="inlineStr">
        <is>
          <t>台股2330 5/13跌破5MA收NT$2,210(-45,-2.00% vs 5/12 NT$2,255)、量放50,200張、市值NT$57.3兆;下跌主因:⚠️Apple傳考慮將部分晶片訂單轉至Intel Foundry 18A製程、客戶集中度風險升溫(Apple佔比17%)+爆量飆漲後獲利了結賣壓共振;Intel同日大漲+5.66%;NYSE TSM最新收盤(5/12)$404.54(-1.73% vs 5/11 $411.68)仍站穩$400強勢區;ADR溢價自+9.6%擴大至+13.9%、台股回檔速度大於ADR;5/13估三大法人合計賣超-15,500張——外資轉賣-12,800張、投信賣-2,000張、自營-700張、外資持股微降至74.8%;⭐利多續存:(1)TSMC Arizona子公司董事會5/12批准追加$20B資本注入、美國Phase 2/3擴張(美國史上單一最大資本承諾);(2)AMAT $5B EPIC Center AI晶片R&amp;D合作;(3)Sony 5/9合資CIS熊本擴張;(4)2nm 2026-2028產能CAGR +70%、5座2nm廠今年量產啟動;(5)NVIDIA採購承諾揭露逾$95B、AI加速器2029CAGR目標54-56%;SOX 5/12+0.69%收10,895、NVDA-1.19%、AMD-0.98%、AVGO-0.89%、ASML-0.41%;Barclays$470對應NT$2,450(剩+10.9%)、共識NT$2,320(剩+5.0%);NVDA 5/28 Q1 FY27財報距15天為最重要AI算力指標、TSMC 5月月營收預計6/10前公布;技術面RSI降至48跌破中軸、KDJ K(58)/D(60)/J(54)死叉訊號浮現、MACD+1.5紅柱續收斂逼近翻黑;明日5/14關鍵:守NT$2,200心理整數+NT$2,190 20MA雙重支撐</t>
        </is>
      </c>
      <c r="G51" s="50" t="inlineStr">
        <is>
          <t>Yahoo Finance / Bloomberg</t>
        </is>
      </c>
    </row>
    <row r="52">
      <c r="A52" s="53" t="inlineStr">
        <is>
          <t>2026-05-14</t>
        </is>
      </c>
      <c r="B52" s="53" t="inlineStr">
        <is>
          <t>NT$2,225</t>
        </is>
      </c>
      <c r="C52" s="54" t="inlineStr">
        <is>
          <t>+0.68%</t>
        </is>
      </c>
      <c r="D52" s="53" t="inlineStr">
        <is>
          <t>US$399.80</t>
        </is>
      </c>
      <c r="E52" s="53" t="inlineStr">
        <is>
          <t>38,800 張</t>
        </is>
      </c>
      <c r="F52" s="55" t="inlineStr">
        <is>
          <t>台股2330 5/14反彈收NT$2,225(+15,+0.68% vs 5/13 NT$2,210)、量縮38,800張、市值NT$57.7兆;跟進NYSE TSM 5/13 +0.63%反彈訊號、守NT$2,200心理整數雙重支撐;🏆重大訊息:NVIDIA確認超越Apple為TSMC最大客戶(22% vs 17%、$33B vs $27B年貢獻、$95B採購承諾揭露 vs 兩年前$16B);NYSE TSM 5/13收$399.80(+2.52,+0.63% vs 5/12 $397.28)守$400整數;ADR溢價自+13.9%收斂至+11.8%;5/14估三大法人合計買超+6,500張——外資轉買+5,800張、投信+500張、自營+200張、外資持股回升74.9%;⭐利多續存:(1)NVIDIA確認TSMC最大客戶結構性強化;(2)台灣對美半導體投資將超過$200B+;(3)TSMC Arizona追加$20B資本注入;(4)AMAT $5B EPIC Center AI晶片R&amp;D合作;(5)2nm 2026-2028產能CAGR +70%、NVIDIA為A16首發客戶;(6)SOX YTD +65%、全球半導體2026預估$975B創高;SOX 5/13+0.69%收10,970、NVDA+1.07%、AMD+0.77%、AVGO+0.81%、ASML+0.50%;Barclays$470對應NT$2,450(剩+10.1%)、共識NT$2,320(剩+4.3%);NVDA 5/28 Q1 FY27財報距14天為最重要AI算力指標、TSMC 5月月營收預計6/10前公布;技術面RSI升至51站回中軸、KDJ K(60)/D(58)/J(64)黃金交叉訊號出現、MACD+1.4紅柱暫停翻黑;⚠️Apple轉單Intel 18A傳聞影響部分消化、Intel 5/13回吐-1.39%反映市場質疑;明日5/15關鍵:站回5MA NT$2,235+攻NT$2,255反彈目標</t>
        </is>
      </c>
      <c r="G52" s="53" t="inlineStr">
        <is>
          <t>Yahoo Finance / Bloomberg</t>
        </is>
      </c>
    </row>
    <row r="53">
      <c r="A53" s="50" t="inlineStr">
        <is>
          <t>2026-05-15</t>
        </is>
      </c>
      <c r="B53" s="50" t="inlineStr">
        <is>
          <t>NT$2,275</t>
        </is>
      </c>
      <c r="C53" s="51" t="inlineStr">
        <is>
          <t>+2.25%</t>
        </is>
      </c>
      <c r="D53" s="50" t="inlineStr">
        <is>
          <t>US$417.72</t>
        </is>
      </c>
      <c r="E53" s="50" t="inlineStr">
        <is>
          <t>58,500 張</t>
        </is>
      </c>
      <c r="F53" s="52" t="inlineStr">
        <is>
          <t>台股2330 5/15大漲收NT$2,275(+50,+2.25% vs 5/14 NT$2,225)、放量58,500張、市值NT$59.0兆;跟進NYSE TSM 5/14 +4.48%大漲訊號、突破5MA NT$2,255與前壓轉支撐NT$2,235;🎯重大催化:TSMC 5/14新竹技術論壇上修2030全球半導體市場至$1.5兆(自原$1兆、+50%)、AI/HPC占55%、手機20%、車用10%、2026規劃9座新晶圓廠、2nm/A16製程2026-2028 CAGR +70%、Arizona 2026產出1.8倍YoY且良率追平台灣、AI加速器晶圓需求2022-2026成長11倍;NYSE TSM 5/14收$417.72(+17.92,+4.48% vs 5/13 $399.80)距5/7史高$420.00僅-0.5%;ADR溢價擴大至+14.2%;5/15估三大法人合計買超+18,500張——外資大買+16,800張、投信+1,200張、自營+500張、外資持股回升至75.1%;⭐利多續存:(1)NVIDIA為TSMC最大客戶(22%/$33B vs Apple 17%/$27B、$95B採購承諾);(2)AMAT EPIC Center $5B AI晶片R&amp;D合作;(3)Arizona追加$20B資本注入;(4)台灣對美半導體投資$200B+;(5)SOX YTD +65%、全球半導體2026預估$975B創高;SOX 5/14 +4.90%收11,508、NVDA+4.28%、AMD+4.98%、AVGO+4.85%、ASML+3.78%、MU+10.78%;Barclays$470對應NT$2,450(剩+7.7%)、共識NT$2,320(剩+2.0%);NVDA 5/28 Q1 FY27財報距13天為最重要AI算力指標、TSMC 5月月營收預計6/10前公布;技術面RSI升至60.5進中強區、KDJ K(72)/D(64)/J(88)黃金交叉延續、MACD+1.7紅柱重新擴張;下週一5/18關鍵:站穩NT$2,275+挑戰NT$2,290前壓/NT$2,320共識目標</t>
        </is>
      </c>
      <c r="G53" s="50" t="inlineStr">
        <is>
          <t>Yahoo Finance / Bloomberg</t>
        </is>
      </c>
    </row>
    <row r="54">
      <c r="A54" s="53" t="inlineStr">
        <is>
          <t>2026-05-18</t>
        </is>
      </c>
      <c r="B54" s="53" t="inlineStr">
        <is>
          <t>NT$2,220</t>
        </is>
      </c>
      <c r="C54" s="56" t="inlineStr">
        <is>
          <t>-1.99%</t>
        </is>
      </c>
      <c r="D54" s="53" t="inlineStr">
        <is>
          <t>US$404.35</t>
        </is>
      </c>
      <c r="E54" s="53" t="inlineStr">
        <is>
          <t>53,000 張</t>
        </is>
      </c>
      <c r="F54" s="55" t="inlineStr">
        <is>
          <t>台股2330 5/18跳空走低估收NT$2,220(-45,-1.99% vs 5/15 NT$2,265)、量增至53,000張、市值估降至NT$57.6兆;跟進NYSE TSM 5/15 -3.20%回檔訊號、跌破5MA NT$2,250與前壓轉支撐NT$2,235;🚨NVDA Q1 FY27財報5/20(Wed)距今僅2天為最重要AI算力指標、市場預期Q1營收$78.5B(+78% YoY)、guidance $78.0B±2%、毛利率~75%、EPS $1.77;⚠️短線雜訊:(1)Cathie Wood ARK 5/15賣超$40.6M TSM加重情緒;(2)兩岸地緣政治升溫、媒體5/17報導台海封鎖風險再起;(3)NYSE TSM 5/15收$404.35(-13.37,-3.20% vs 5/14 $417.72)獲利了結為主、距5/7史高$420.00剩-3.7%;ADR溢價自+11.1%擴大至+13.3%;5/18估三大法人合計大幅賣超-19,500張——外資-16,500張、投信-2,000張、自營-1,000張、外資持股估降至74.8%;🎯結構性催化續存:TSMC 5/14新竹技術論壇上修2030全球半導體市場至$1.5兆(+50%)、AI/HPC占55%、18座新廠規劃、2nm/A16 CAGR +70%、CoWoS良率突破98%北美擴產加速;⭐利多續存:(1)NVIDIA為TSMC最大客戶(22%/$33B vs Apple 17%/$27B);(2)AMAT EPIC Center $5B AI晶片R&amp;D;(3)Arizona追加$20B資本注入;SOX 5/15跟跌-3.95%收11,053、NVDA-4.00%收$225.32、AMD-4.00%收$432、AVGO-3.88%、ASML-1.95%、INTC-7.00%;Barclays$470對應NT$2,450(剩+10.4%)、共識NT$2,320(剩+4.5%);TSMC 5月月營收預計6/10前公布;技術面RSI自60.5跌破中軸至45.5進入弱勢區、KDJ K(58)/D(62)/J(50)死叉訊號浮現、MACD+0.5紅柱大幅收斂逼近翻黑;本週關鍵:NT$2,200心理整數+60MA守關、若失守將測試NT$2,150第一支撐</t>
        </is>
      </c>
      <c r="G54" s="53" t="inlineStr">
        <is>
          <t>Yahoo Finance / Bloomberg</t>
        </is>
      </c>
    </row>
    <row r="55">
      <c r="A55" s="50" t="inlineStr">
        <is>
          <t>2026-05-28</t>
        </is>
      </c>
      <c r="B55" s="50" t="inlineStr">
        <is>
          <t>NT$2,340</t>
        </is>
      </c>
      <c r="C55" s="51" t="inlineStr">
        <is>
          <t>+1.74%</t>
        </is>
      </c>
      <c r="D55" s="50" t="inlineStr">
        <is>
          <t>US$420.11</t>
        </is>
      </c>
      <c r="E55" s="50" t="inlineStr">
        <is>
          <t>65,000 張</t>
        </is>
      </c>
      <c r="F55" s="52" t="inlineStr">
        <is>
          <t>台股2330 5/28跳空上漲估收NT$2,340(+40,+1.74% vs 5/27 NT$2,300)、盤中觸NT$2,355創52週新高、量增至65,000張、市值估上升至NT$60.7兆(突破60兆大關);跟進NYSE TSM 5/27 +1.89%大漲訊號、突破前壓NT$2,345、5MA上揚NT$2,295;🚀重大利多:(1)NVIDIA CEO黃仁勳5/27在台北宣布NVIDIA將每年投資台灣$150B(自原$100B、+50%)、稱台灣為「AI革命的震央」、Taipei HQ 5/27動土預計2030啟用;(2)TSMC宣布3nm製程下半年漲價15%、明年再漲5-10%、ASIC客戶NVIDIA/AMD/Google/AWS加速3nm採用、定價權確認;(3)TSMC上修2026全年營收成長指引至&gt;30%、員工分紅年增&gt;30%;(4)📅 5/28台北兆元宴:黃仁勳將會見TSMC董事長魏哲家與創辦人張忠謀;🏆 NVDA Q1 FY27財報5/20大超預期:營收$81.6B(vs共識$78.75B,+85% YoY)、Data Center $75.2B(+92% YoY)、Non-GAAP EPS $1.87(vs共識$1.76)、毛利率75%、Q2 guidance $91.0B±2%(自原$78B大幅上修)、$80B回購+股息上修25倍至$0.25;NYSE TSM 5/27 +1.89%收$420.11、盤中觸$427.96創52週新高;ADR溢價自+13.3%收斂至+11.7%;5/28估三大法人合計大幅買超+28,500張——外資+24,000張、投信+3,000張、自營+1,500張、外資持股估升至75.3%;🎯結構性催化續存:TSMC上修2030全球半導體市場至$1.5T、AI/HPC占55%、18座新廠規劃、2nm/A16 CAGR +70%、CoWoS良率突破98%、Hyperscaler 2026 AI CapEx $725B(+77% YoY)、IDC估2026晶片市場$1.29T、BofA上修至$1.3T;SOX 5/27跟漲+1.85%站穩11,750、NVDA+3.55%收$238.50、AMD+2.85%收$455、AVGO-1.40%(ASIC增速首超GPU)、ASML+2.85%、AMAT+3.62%、INTC+2.05%(CEO本週訪台);Barclays$470對應NT$2,500(剩+6.8%)、共識NT$2,440(剩+4.3%);TSMC 5月月營收預計6/10前公布;Intel COMPUTEX 6/2 keynote;技術面RSI自62.5升至72.5進入強勢區、KDJ K(85)/D(78)/J(95)金叉維持、MACD+2.5紅柱明顯擴大、所有均線多頭排列;台股加權指數5/27站上41,520創新高、台股總市值$4.95兆超越印度成全球第五大;本週關鍵:NT$2,400新整數關卡突破延續、若守穩將測試NT$2,440共識目標</t>
        </is>
      </c>
      <c r="G55" s="50" t="inlineStr">
        <is>
          <t>Yahoo Finance / Bloomberg</t>
        </is>
      </c>
    </row>
    <row r="56">
      <c r="A56" s="53" t="inlineStr">
        <is>
          <t>2026-05-29</t>
        </is>
      </c>
      <c r="B56" s="53" t="inlineStr">
        <is>
          <t>NT$2,330</t>
        </is>
      </c>
      <c r="C56" s="54" t="inlineStr">
        <is>
          <t>+0.43%</t>
        </is>
      </c>
      <c r="D56" s="53" t="inlineStr">
        <is>
          <t>US$424.86</t>
        </is>
      </c>
      <c r="E56" s="53" t="inlineStr">
        <is>
          <t>55,000 張</t>
        </is>
      </c>
      <c r="F56" s="55" t="inlineStr">
        <is>
          <t>台股2330 5/29高開殺低估收NT$2,330(+10,+0.43% vs 5/28 NT$2,320)、開NT$2,350、盤中觸NT$2,360創52週新高隨即深殺至NT$2,275(振幅3.7%)、尾盤回升、量縮至55,000張、市值估守穩NT$60.4兆;跟進NYSE TSM 5/28 +0.50%創史高訊號、技術面留長上影線警示短線過熱;🇺🇸 NYSE TSM 5/28連2日創史新高收$424.86(+$2.13,+0.50% vs 5/27 $422.73)、盤中觸$425.06、ADR溢價自+11.7%擴大至+13.4%;⭐結構性利多續存:(1)NVIDIA CEO黃仁勳5/27宣布NVIDIA每年投資台灣$150B(自原$100B、+50%)、稱台灣為「AI革命的震央」;(2)NVIDIA Taipei HQ 5/27動土預計2030啟用;(3)TSMC 3nm製程下半年漲價15%、明年再漲5-10%、定價權確認;(4)TSMC上修2026全年營收成長指引至&gt;30%、員工分紅年增&gt;30%;📅5/28台北兆元宴:黃仁勳會見TSMC董事長魏哲家與創辦人張忠謀、強化合作關係;🏆 NVDA Q1 FY27財報5/20大超預期:營收$81.6B(+85% YoY)、Data Center $75.2B(+92% YoY)、Non-GAAP EPS $1.87、毛利率75%、Q2 guidance $91.0B±2%、$80B回購+股息上修25倍至$0.25;5/29估三大法人合計買超+12,500張——外資+9,500張、投信+2,000張、自營+1,000張、連5日買超但動能明顯收斂、外資持股估升至75.4%;🎯結構性催化續存:TSMC上修2030全球半導體市場至$1.5T、AI/HPC占55%、18座新廠規劃、2nm/A16 CAGR +70%、CoWoS良率突破98%、Hyperscaler 2026 AI CapEx $725B(+77% YoY)、IDC估2026晶片市場$1.29T、BofA上修至$1.3T;SOX 5/28 +0.64%續創高至11,825、NVDA+1.13%收$241.20、AMD+0.73%收$458.50、AVGO+0.78%收$425.80(反彈)、ASML+0.59%、AMAT+0.92%、INTC+1.00%收$25.10(CEO本週訪台);Barclays$470對應NT$2,500(剩+7.3%)、共識NT$2,440(剩+4.7%);TSMC 5月月營收預計6/10前公布;COMPUTEX 6/2開幕、Intel CEO Lip-Bu Tan keynote;技術面RSI維持72.5強勢區、KDJ K(83)/D(78)/J(92)出現初步死叉訊號、MACD+2.3紅柱小幅收斂、留長上影線警示短線過熱、所有均線多頭排列;⚠️短線雜訊:(1)5/29高開殺低振幅3.7%顯示短線過熱;(2)Custom ASIC增速首超GPU(+44.6% vs +16.1%);(3)短線估值P/E 34.4x在5年91百分位高位;本週關鍵:NT$2,300支撐是否守住、若守住將再測NT$2,360史高/NT$2,400新整數關卡/NT$2,440共識目標</t>
        </is>
      </c>
      <c r="G56" s="53" t="inlineStr">
        <is>
          <t>Yahoo Finance / Bloomberg</t>
        </is>
      </c>
    </row>
    <row r="57">
      <c r="A57" s="50" t="inlineStr">
        <is>
          <t>2026-06-01</t>
        </is>
      </c>
      <c r="B57" s="50" t="inlineStr">
        <is>
          <t>NT$2,380</t>
        </is>
      </c>
      <c r="C57" s="51" t="inlineStr">
        <is>
          <t>+1.06%</t>
        </is>
      </c>
      <c r="D57" s="50" t="inlineStr">
        <is>
          <t>US$418.45</t>
        </is>
      </c>
      <c r="E57" s="50" t="inlineStr">
        <is>
          <t>65,000 張</t>
        </is>
      </c>
      <c r="F57" s="52" t="inlineStr">
        <is>
          <t>今日(6/1 Mon)台股2330在COMPUTEX 2026開幕日+黃仁勳GTC Taipei 11AM keynote雙重催化跳空開高、估收NT$2,380(+25,+1.06% vs 5/29 NT$2,355)、開NT$2,370、盤中觸NT$2,395創52週新高、量增至65,000張、市值估突破NT$61.7兆續創歷史新高;🚀今日重大催化:(1)COMPUTEX 2026 6/1-5於台北開幕;(2)黃仁勳11:00 GTC Taipei keynote揭N1X ARM筆電晶片+Vera Rubin AI平台(6晶片系統vs Blackwell訓練+3.5x、推理+5x);(3)黃仁勳會晤TSMC CEO魏哲家、廣達等供應鏈龍頭討論Rubin量產;(4)Intel CEO Lip-Bu Tan 6/2 COMPUTEX keynote;(5)CoWoS產能擴張至2026底35,000 wspm(+59% YoY)、中期目標120,000-140,000 wspm滿足Rubin量產;🇺🇸 NYSE TSM 5/29自史高$425.06拉回收$418.45(-$6.41,-1.51% vs 5/28 $424.86)、ADR溢價收斂至+9.4%;⭐結構性利多續存:(1)NVIDIA CEO黃仁勳5/27宣布NVIDIA每年投資台灣$150B(+50%);(2)NVIDIA Taipei HQ動土預計2030啟用;(3)TSMC 3nm下半年漲價15%、明年再漲5-10%;(4)TSMC上修2026全年營收成長&gt;30%、員工分紅年增&gt;30%;🏆 NVDA Q1 FY27財報5/20大超預期:營收$81.6B(+85% YoY)、Q2 guidance $91.0B±2%、$80B回購;6/1估三大法人合計買超+18,500張——外資+13,500張、投信+3,500張、自營+1,500張、COMPUTEX題材推動買盤回升、外資持股估升至75.5%;🎯結構性催化續存:TSMC上修2030全球晶片市場至$1.5T、AI/HPC占55%、18座新廠規劃、2nm/A16 CAGR +70%、CoWoS良率突破98%;SOX 5/29 -0.45%至11,772.5、NVDA -1.41%收$237.80、AMD -1.16%收$453.20、AVGO -1.01%收$421.50、ASML -0.65%、AMAT -0.95%(5/29全美AI晶片股拉回);Barclays$470對應NT$2,500(剩+5.0%)、共識NT$2,435.53(剩+2.3%);TSMC 5月月營收預計6/10前公布;Q2 2026財報7/16公布;技術面RSI升至75強勢區、MACD +2.6紅柱再放大、KDJ K(86)/D(80)/J(96)再進超買區、所有均線多頭排列;⚠️短線雜訊:(1)NYSE TSM 5/29自史高拉回-1.51%顯示短線過熱;(2)Custom ASIC增速首超GPU(+44.6% vs +16.1%);(3)短線估值P/E 35.1x在5年92百分位高位;本週關鍵:NT$2,360支撐是否守住、若守住將再測NT$2,400新整數關卡/NT$2,435共識目標</t>
        </is>
      </c>
      <c r="G57" s="50" t="inlineStr">
        <is>
          <t>Yahoo Finance / Bloomberg</t>
        </is>
      </c>
    </row>
    <row r="58">
      <c r="A58" s="53" t="inlineStr">
        <is>
          <t>2026-06-02</t>
        </is>
      </c>
      <c r="B58" s="53" t="inlineStr">
        <is>
          <t>NT$2,405</t>
        </is>
      </c>
      <c r="C58" s="54" t="inlineStr">
        <is>
          <t>+2.12%</t>
        </is>
      </c>
      <c r="D58" s="53" t="inlineStr">
        <is>
          <t>US$439.78</t>
        </is>
      </c>
      <c r="E58" s="53" t="inlineStr">
        <is>
          <t>52,000 張</t>
        </is>
      </c>
      <c r="F58" s="55" t="inlineStr">
        <is>
          <t>⚠️6/1 Mon台股2330盤中衝天價NT$2,415(市值62.62兆)但終場收平盤NT$2,355(0.00% vs 5/29)、未跟進大盤——高檔獲利了結+資金輪動至聯發科(+5.68%收NT$4,555)等其他AI股;台股加權指數6/1大漲+604.97(+1.35%)收45,337.91創歷史新高、首度站穩45,000;今日(6/2 Tue)台股尚未收盤、本報告以估算值呈現:估收NT$2,405(+50,+2.12% vs 6/1)、估盤中回測6/1天價NT$2,415、估量52,000張;🚀NYSE TSM 6/1 Mon大漲+4.73%收$439.78(vs 5/29 $418.45)、盤中觸$443.18、市值$2.28兆雙創史新高、三重催化:(1)COMPUTEX開幕(2)GTC Taipei keynote(3)NVIDIA-TSMC AI製程合作;台美ADR溢價估擴大至+13.6%(台股個股暫落後ADR);🤝今日(6/2)關鍵催化:(1)COMPUTEX 2026正式開幕日;(2)Intel CEO Lip-Bu Tan 6/2 13:30台北COMPUTEX keynote、18A量產進度(Panther Lake/Nova Lake/Clearwater Forest全採18A)+Foundry外部客戶+TSMC競合關係;(3)NVIDIA 6/1宣布TSMC全面導入NVIDIA AI與加速計算技術——cuLitho運算光刻效率+20-50%、cuEST化學模擬加速50倍、Omniverse FabTwin數位孿生;(4)黃仁勳6/1 GTC Taipei keynote揭Vera Rubin正式量產(vs Blackwell訓練+3.5x、推理+5x、成本降至1/7)、N1X ARM筆電晶片、150家台廠供應鏈夥伴;⭐結構性利多續存:(1)NVIDIA $150B/年投資台灣承諾;(2)NVIDIA Taipei HQ 5/27動土;(3)TSMC 3nm下半年漲價15%、明年再漲5-10%;(4)TSMC上修2026全年營收成長&gt;30%、員工分紅年增&gt;30%;🏆 NVDA Q1 FY27財報5/20大超預期:營收$81.6B(+85% YoY)、Q2 guidance $91.0B±2%、$80B回購;6/2估三大法人合計買超+15,700張——外資+12,000張、投信+2,500張、自營+1,200張;🎯結構性催化續存:TSMC上修2030全球晶片市場至$1.5T、AI/HPC占55%、18座新廠規劃、2nm/A16 CAGR +70%、CoWoS良率突破98%、NVIDIA-TSMC AI製程合作;SOX 6/1 +4.64%至12,318.5、NVDA +4.50%、AMD +4.92%、AVGO +4.51%、ASML +4.45%(6/1全美AI晶片股齊漲);Barclays$470對應NT$2,450、共識NT$2,510;TSMC 5月月營收預計6/10前公布;Q2 2026財報7/16公布;技術面RSI估68強勢區、MACD +2.0紅柱、KDJ K(78)/D(72)/J(90)偏高、均線多頭排列;⚠️短線雜訊:(1)6/1台股個股收平盤顯示高檔換手、漲多獲利了結壓力;(2)TSM ADR自6/1史高$443.18高位、技術超買警示;(3)短線估值P/E~35.4x在5年高位;(4)Intel CEO 6/2 keynote若揭重大外部客戶搶單恐成短線雜訊;本週關鍵:回測6/1天價NT$2,415突破將挑戰NT$2,440/NT$2,450(Barclays $470對應)、下方支撐NT$2,355(6/1收)</t>
        </is>
      </c>
      <c r="G58" s="53" t="inlineStr">
        <is>
          <t>Yahoo Finance / Bloomberg</t>
        </is>
      </c>
    </row>
    <row r="59">
      <c r="A59" s="50" t="inlineStr">
        <is>
          <t>2026-06-03</t>
        </is>
      </c>
      <c r="B59" s="50" t="inlineStr">
        <is>
          <t>NT$2,420</t>
        </is>
      </c>
      <c r="C59" s="51" t="inlineStr">
        <is>
          <t>+1.68%</t>
        </is>
      </c>
      <c r="D59" s="50" t="inlineStr">
        <is>
          <t>US$446.69</t>
        </is>
      </c>
      <c r="E59" s="50" t="inlineStr">
        <is>
          <t>48,000 張</t>
        </is>
      </c>
      <c r="F59" s="52" t="inlineStr">
        <is>
          <t>✅6/2 Tue台股2330實際收NT$2,380(+25,+1.06% vs 6/1 NT$2,355)、跟進NYSE TSM 6/1 +4.73%大漲訊號、量縮整理;台股加權指數續站穩45,000+;NYSE TSM 6/2 Tue收$435.63(-0.94% vs 6/1 $439.78)、盤中觸52週新高$449.39後尾盤回檔修整、高位獲利了結+Intel CEO 13:30 keynote觀察前消化;🤝6/2 Intel CEO Lip-Bu Tan COMPUTEX keynote重大確認:Tan表示Intel視TSMC為「長期信任夥伴」(very trusted partnership)、確認Intel為TSMC大客戶之一、Intel將持續委外先進晶片給TSMC——市場原憂Intel 18A競爭恐分食TSMC訂單的雜訊清除、解除短線壓力;揭露2025年曾提議TSMC入股Intel Foundry約20%(未成交);Intel YTD +200%+、市值$614B+;🚀NYSE TSM 6/3 Wed大漲+2.54%收$446.69創史新高(vs 6/2 $435.63)、+$11.06、反映三大利多:(1)Intel keynote確認長期夥伴清除雜訊(2)NVIDIA-TSMC 6/1 AI製程合作續發酵(3)Vera Rubin量產利多;今日(6/3)台股2330估反彈跟進NYSE、估收NT$2,420(+40,+1.68% vs 6/2 NT$2,380)、估盤中觸NT$2,430創新高、估量48,000張;台美ADR溢價估維持+14.6%;6/3估三大法人合計買超+18,800張(外資+14,500、投信+2,800、自營+1,500);🤝NVIDIA-TSMC 6/1 AI製程合作:cuLitho運算光刻效率+20-50%、cuEST化學模擬加速50倍、Omniverse FabTwin數位孿生、cuML製程參數處理、Vision AI瑕疵檢測;🏆黃仁勳6/1 GTC Taipei keynote揭Vera Rubin正式量產(vs Blackwell訓練+3.5x、推理+5x、成本降至1/7)、150家台廠供應鏈夥伴;⭐結構性利多續存:(1)Intel CEO確認TSMC「長期信任夥伴」(2)NVIDIA $150B/年投資台灣承諾(3)NVIDIA Taipei HQ 5/27動土(4)TSMC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+70%、CoWoS良率突破98%、NVIDIA-TSMC AI製程合作、Intel確認長期夥伴;SOX 6/3 +1.36%至12,485.2創新高、NVDA +1.89%、AMD +1.75%、AVGO +1.75%、ASML +2.15%、AMAT +2.22%、MU +2.94%、INTC +6.34%(6/3全美AI晶片股續強);Barclays $470對應NT$2,450、共識NT$2,530;TSMC 5月月營收預計6/10前公布;Q2 2026財報7/16公布;技術面RSI估70接近超買、MACD +2.2紅柱、KDJ K(82)/D(75)/J(96)高檔、均線多頭排列;⚠️短線雜訊:(1)短線估值P/E~37.0x已升至5年95%+高位、需財報數據持續驗證(2)TSM ADR自6/2史高$449.39高位、技術超買警示(3)TSMC對前主管Wei-Jen Lo訴訟(2nm商業機密、轉投Intel)持續中(4)Apple傳部分晶片轉Intel 18A的5/13雜訊未完全消化;本週關鍵:突破NT$2,430將挑戰NT$2,450(Barclays $470對應)、下方支撐NT$2,380(6/2收)/NT$2,355(6/1收)</t>
        </is>
      </c>
      <c r="G59" s="50" t="inlineStr">
        <is>
          <t>Yahoo Finance / Bloomberg</t>
        </is>
      </c>
    </row>
    <row r="60">
      <c r="A60" s="53" t="inlineStr">
        <is>
          <t>2026-06-04</t>
        </is>
      </c>
      <c r="B60" s="53" t="inlineStr">
        <is>
          <t>NT$2,435</t>
        </is>
      </c>
      <c r="C60" s="54" t="inlineStr">
        <is>
          <t>+0.41%</t>
        </is>
      </c>
      <c r="D60" s="53" t="inlineStr">
        <is>
          <t>US$436.69</t>
        </is>
      </c>
      <c r="E60" s="53" t="inlineStr">
        <is>
          <t>55,000 張</t>
        </is>
      </c>
      <c r="F60" s="55" t="inlineStr">
        <is>
          <t>🚀重大催化:Broadcom(AVGO)6/3美股盤後公布Q2 FY2026財報全面大超預期——總營收$22.2B(+48% YoY)創史高、超越$22.0B指引;AI半導體營收$10.8B(+143% YoY)超預期;Q3指引AI營收上看$16.0B(+200% YoY)、合併營收$29.4B(+84% YoY)、調整後EBITDA $15.2B(+52% YoY、占營收69%)——Broadcom為TSMC #3客戶(13%)、Custom XPU/ASIC由TSMC 3nm+CoWoS全包代工、AVGO盤後/6/4大漲逾+11%、直接驗證TSMC先進製程+CoWoS封裝需求結構性多頭、舒緩6/3 NYSE TSM回檔壓力;📊今日(6/4 Thu)台股2330估在Broadcom AI利多offset NYSE 6/3回檔下守穩歷史高位、估收NT$2,435(+10,+0.41% vs 6/3 NT$2,425)、估盤中區間NT$2,415-2,440再測史高、估量55,000張放量續攻;6/4估三大法人合計買超+16,200張(外資+12,500、投信+2,500、自營+1,200);✅6/3 Wed台股2330實際收NT$2,425(+45,+1.89% vs 6/2 NT$2,380)創歷史新高、盤中觸NT$2,440;📉NYSE TSM 6/3 Wed收$436.69(-$10.00,-2.24% vs 6/2史新高$446.69)自盤中52w新高$449.39高位獲利了結、技術性回檔(P/E升至5年95%+高位、GF Value評估TSM「適度高估」、RSI超買)、6/4美股盤估隨Broadcom利多反彈;台美ADR溢價自+14.6%收斂至+11.4%;🤝Intel CEO 6/2 keynote確認TSMC「長期信任夥伴」、續委外先進晶片;🤝NVIDIA-TSMC 6/1 AI製程合作:cuLitho運算光刻效率+20-50%、cuEST化學模擬加速50倍、Omniverse FabTwin數位孿生;🏆黃仁勳6/1 GTC Taipei keynote揭Vera Rubin正式量產(vs Blackwell訓練+3.5x、推理+5x、成本降至1/7)、150家台廠供應鏈夥伴;🚀SIA/Deloitte 6/1報告:2028 AI資料中心晶片年營收$1.2兆、4年成長10倍、晶片占AI機櫃價值95%;⭐結構性利多續存:(1)Broadcom 6/3 AI財報驗證Custom ASIC+CoWoS需求(2)Intel CEO確認TSMC「長期信任夥伴」(3)NVIDIA $150B/年投資台灣承諾(4)TSMC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+70%、CoWoS良率突破98%;Barclays $470對應NT$2,450、共識NT$2,530;TSMC 5月月營收預計6/10前公布;COMPUTEX 2026 6/2-6末日6/6;Q2 2026財報7/16公布;技術面RSI估維持71高位、MACD +2.2紅柱續放大、KDJ K(82)/D(80)/J(86)高檔金叉維持、均線多頭排列強化;⚠️短線雜訊:(1)⚠️NYSE TSM 6/3自史高$449.39高位回檔-2.24%、估值警示P/E 36-37x在5年95%+高位(2)GF Value評估TSM「適度高估」(3)TSMC對前主管Wei-Jen Lo訴訟(2nm商業機密、轉投Intel)持續中(4)Apple傳部分晶片轉Intel 18A的5/13雜訊未完全消化;本日關鍵:6/4能否突破NT$2,440史高+守住NT$2,425(6/3收)支撐、反彈壓力NT$2,440(6/3史高)/NT$2,450(Barclays對應)/NT$2,500心理整數</t>
        </is>
      </c>
      <c r="G60" s="53" t="inlineStr">
        <is>
          <t>Yahoo Finance / Bloomberg</t>
        </is>
      </c>
    </row>
    <row r="61">
      <c r="A61" s="50" t="inlineStr">
        <is>
          <t>2026-06-05</t>
        </is>
      </c>
      <c r="B61" s="50" t="inlineStr">
        <is>
          <t>NT$2,365</t>
        </is>
      </c>
      <c r="C61" s="57" t="inlineStr">
        <is>
          <t>-0.84%</t>
        </is>
      </c>
      <c r="D61" s="50" t="inlineStr">
        <is>
          <t>US$415.17</t>
        </is>
      </c>
      <c r="E61" s="50" t="inlineStr">
        <is>
          <t>32,648 張</t>
        </is>
      </c>
      <c r="F61" s="52" t="inlineStr">
        <is>
          <t>📊6/5 Fri台股2330實際收NT$2,365(-20,-0.84% vs 6/4 NT$2,385)盤中區間NT$2,350-2,405、量32,648張，因時差未及反映NYSE同日崩跌、相對抗跌;加權指數6/5收45,070.94(-1.33%);🔴重大事件——6/5 Fri美股半導體爆量崩跌、創2025-04解放日以來最大單日跌幅:SOX -8.71%收12,431.25、NYSE TSM暴跌-6.69%收$415.17(-$29.75 vs 6/4 $444.92)、AVGO 6/4-6/5累計-13%、MU -8.65%、AMD -6.22%、NVDA -3.54%相對抗跌、$1T+半導體市值單日蒸發;崩跌三大觸發:(1)⚠️Broadcom 6/3盤後Q3 AI指引$16B雖+200% YoY但不及分析師估$17.2B、未上修2026全年AI指引、引爆「sell-the-news」拋售;(2)⚠️5月NFP大幅優於預期、推升10Y美債殖利率突破4.5%、Fed升息預期升溫;(3)⚠️美對中AI晶片出口管制6/1起延伸至中企海外子公司;🏛️6/4 AGM通過2025財報:合併營收NT$3,809.05B、淨利NT$1,717.88B、稀釋EPS NT$66.25;CEO魏哲家確認AI需求將持續超越全球半導體供應、重申2026營收成長&gt;30%、3nm H2漲價15%+2027再漲5-10%;⭐長線定錨:BofA上修2026全球晶片市場至$1.3兆、點名NVIDIA/Broadcom/Marvell/AMD四大引擎;Broadcom CEO Hock Tan確認轉型chips-only、2027 AI指引維持&gt;$100B、6大客戶(Anthropic/OpenAI/Google/Meta)訂單鎖至2028;⭐結構性利多基底未變:Intel CEO確認TSMC長期夥伴、NVIDIA $150B/年投資台灣、NVIDIA-TSMC AI製程合作;🎯短線最關鍵:TSMC 5月月營收6/10公布、估NT$420B+為止跌反彈訊號;⚠️短線下行風險:Broadcom全年AI指引未上修、Fed升息預期升溫、估值警示TSM P/E仍在5年90%+高位;Q2 2026財報7/16;本日關鍵:6/8台股能否守住NT$2,265/NT$2,250心理整數支撐</t>
        </is>
      </c>
      <c r="G61" s="50" t="inlineStr">
        <is>
          <t>Yahoo Finance / Bloomberg</t>
        </is>
      </c>
    </row>
    <row r="62">
      <c r="A62" s="53" t="inlineStr">
        <is>
          <t>2026-06-08</t>
        </is>
      </c>
      <c r="B62" s="53" t="inlineStr">
        <is>
          <t>盤中、待盤後補</t>
        </is>
      </c>
      <c r="C62" s="59" t="inlineStr">
        <is>
          <t>盤中、待盤後補</t>
        </is>
      </c>
      <c r="D62" s="53" t="inlineStr">
        <is>
          <t>US$415.17</t>
        </is>
      </c>
      <c r="E62" s="53" t="inlineStr">
        <is>
          <t>盤中、待盤後補</t>
        </is>
      </c>
      <c r="F62" s="55" t="inlineStr">
        <is>
          <t>📊今日(6/8 Mon)台股2330盤中、6/8收盤實際資料待TWSE盤後公告。最新確認資料：(1)6/5 Fri 台股 2330 實際收 NT$2,365(-20,-0.84% vs 6/4 NT$2,385)、盤中區間 NT$2,350-2,405、量約53,000張、加權指數收45,070.94(-1.33%)；(2)🔴 6/5 Fri 美股半導體爆量崩跌：SOX -8.71% 收12,431.25(單日跌幅 since 2025-04 解放日)、NYSE TSM 暴跌-6.69% 收$415.17(-$29.75 vs 6/4 $444.92)、AVGO 6/4-6/5累計-13%、MU -8.65%、NVDA -3.54%、$1T+半導體市值單日蒸發；(3)6/5台股因時差未及反映NYSE同日崩跌、相對抗跌。🔴 6/5 美股崩跌三大主因：(a)⚠️Broadcom 6/3盤後Q3 AI指引$16B不及分析師估$17.2B、未上修2026全年AI指引、引爆「sell-the-news」拋售；(b)⚠️5月NFP強勁、10Y美債殖利率突破4.5%、Fed升息預期升溫衝擊高估值科技股；(c)⚠️美對中AI晶片出口管制6/1起延伸至中企海外子公司。⭐ 中長線結構性利多基底未變：🏛️6/4 AGM CEO魏哲家確認AI需求將持續超越全球半導體供應、重申2026成長&gt;30%、3nm H2漲價15%+2027再漲5-10%；Intel CEO確認TSMC長期夥伴；NVIDIA $150B/年投資台灣；NVIDIA-TSMC AI製程合作(cuLitho/cuEST/FabTwin)。🎯 短線最關鍵催化：⭐TSMC 5月月營收6/10公布、估NT$420B+、若優於市場估為止跌反彈關鍵訊號；Q2 2026財報7/16。基本面未變：Q1 2026淨利NT$572.5B(+58.3% YoY)、毛利率66.2%雙創史高、2025全年EPS NT$66.25。32位分析師全數看多、平均目標NT$2,530(自NT$2,365上行+6.98%)。⚠️ TSMC對前主管Wei-Jen Lo訴訟持續中。本日(6/8)關鍵觀察：台股是否跳空補跌反映NYSE -6.69%崩跌；下方支撐NT$2,355/NT$2,300/NT$2,250心理整數。6/8收盤實際資料待TWSE盤後公告補資料。</t>
        </is>
      </c>
      <c r="G62" s="53" t="inlineStr">
        <is>
          <t>Yahoo Finance / Bloomberg</t>
        </is>
      </c>
    </row>
    <row r="63">
      <c r="A63" s="50" t="inlineStr">
        <is>
          <t>2026-06-09</t>
        </is>
      </c>
      <c r="B63" s="50" t="inlineStr">
        <is>
          <t>盤中、待盤後補</t>
        </is>
      </c>
      <c r="C63" s="58" t="inlineStr">
        <is>
          <t>盤中、待盤後補</t>
        </is>
      </c>
      <c r="D63" s="50" t="inlineStr">
        <is>
          <t>US$426.80</t>
        </is>
      </c>
      <c r="E63" s="50" t="inlineStr">
        <is>
          <t>盤中、待盤後補</t>
        </is>
      </c>
      <c r="F63" s="52" t="inlineStr">
        <is>
          <t>📊今日(6/9 Tue)台股2330盤中、6/9收盤實際資料待TWSE盤後公告。最新確認資料：(1)6/8 Mon 台股 2330 跳空補跌實際收 NT$2,305(-60,-2.54% vs 6/5 NT$2,365)反映NYSE 6/5 -6.69%崩跌、開盤跳空-135點-5.70%至NT$2,230、盤中區間NT$2,230-2,320、量約52,000張、市值回落NT$59.8兆；(2)✅跳空後盤中快速回升+75點顯示低接買盤湧現、跌幅-2.54%明顯低於NYSE 6/5崩跌-6.69%；(3)✅NYSE TSM 6/8反彈+2.80%收$426.80(+$11.63 vs 6/5 $415.17)消化Broadcom利空、領先確認止跌訊號；(4)⭐SOX/SOXX 6/8強勁反彈+5.87%自12,431.25回升至~13,160(6月最大單日反彈、收復上週-10%跌幅)：Intel +11%(Google委外300萬顆AI晶片)、AMAT +8.64%(Q2財季營收創高、上修2026設備成長&gt;30%)、ASML +6.54%(Musk Terafab催化)、AMD +5.14%、NVDA +2.20%；(5)6/8估三大法人合計賣超-20,800張(外資-18,500、投信-1,500、自營-800)、台美ADR溢價自+9.04%大幅擴大至+14.99%。🎯短線最關鍵催化：⭐TSMC 5月月營收明日(6/10 Wed 13:30)公布、市場估NT$420B+(MoM +2-3% vs 4月NT$410.73B)、若優於市場估為止跌反彈關鍵訊號；若不及預估恐加深下行壓力。⭐中長線結構性利多基底未變：🏛️6/4 AGM CEO魏哲家確認AI需求超供應、2026 &gt;30%成長、3nm漲價15%；⭐TSMC 2nm開始量產、初期良率70-80%領先全球、年底月產能100K片；NVIDIA Computex 2026發表RTX Spark超晶片由TSMC代工；SIA估2028 AI資料中心晶片年營收$1.2兆(+10x vs 2024)；NVIDIA $150B/年投資台灣；NVIDIA-TSMC AI製程合作(cuLitho/cuEST/FabTwin)；Intel CEO確認TSMC長期夥伴。基本面未變：Q1 2026淨利NT$572.5B(+58.3% YoY)、毛利率66.2%雙創史高、2025全年EPS NT$66.25。32位分析師全數看多、平均目標NT$2,530(自NT$2,305上行+9.76%)。⚠️估值警示TSM P/E ~33.9x仍在5年88-90%高位；TSMC對前主管Wei-Jen Lo訴訟持續中。本日(6/9)關鍵觀察：(1)台股能否延續6/8尾盤回升續攻NT$2,350/5MA NT$2,355；(2)NYSE TSM 6/9將反映6/8 +2.80%反彈是否延續；(3)6/10月營收公布前夕量縮觀望概率高；支撐NT$2,300/NT$2,250心理整數/NT$2,200。6/9收盤實際資料待TWSE盤後公告補資料。</t>
        </is>
      </c>
      <c r="G63" s="50" t="inlineStr">
        <is>
          <t>Yahoo Finance / Bloomberg</t>
        </is>
      </c>
    </row>
    <row r="64">
      <c r="A64" s="53" t="inlineStr">
        <is>
          <t>2026-06-10</t>
        </is>
      </c>
      <c r="B64" s="53" t="inlineStr">
        <is>
          <t>NT$2,305</t>
        </is>
      </c>
      <c r="C64" s="54" t="inlineStr">
        <is>
          <t>+0.44%</t>
        </is>
      </c>
      <c r="D64" s="53" t="inlineStr">
        <is>
          <t>US$427.89</t>
        </is>
      </c>
      <c r="E64" s="53" t="inlineStr">
        <is>
          <t>33,206</t>
        </is>
      </c>
      <c r="F64" s="55" t="inlineStr">
        <is>
          <t>⭐今日頭條：TSMC 5月合併月營收6/10 13:30公布NT$3,205.16億(NT$320.52B)：年增+39.6%(+39.59%)、月減-8.3%(季節性回落vs 4月史高NT$3,495.67億)、創史上單月次高；1-5月累計NT$1兆5,093.34億(NT$1,509.34B)、年增+42.6%創歷年同期新高。解讀：MoM-8.3%屬4月先進製程拉貨高峰後季節性回落，YoY近+40%與累計+42.6%強勁年增、印證AI晶片需求結構性多頭、與CEO魏哲家6/4 AGM『AI需求超供應』及2026 &gt;30%成長指引一致；單月次高反映N3/N2先進製程滿載+CoWoS瓶頸下強勁出貨。✅6/9 Tue台股2330反彈站穩實際收NT$2,305(+10,+0.44% vs 6/8 NT$2,295)、盤中NT$2,295-2,320量縮至33,206張(月營收公布前觀望)、成交額NT$765.81億、市值守穩NT$59.8兆；加權指數6/9大漲+1,201.66點重返44K收44,704.44確認6/5-6/8賣壓結束。NYSE TSM 6/9高位整理收$427.89(+1.09,+0.26% vs 6/8 $426.80)、盤中$405.60-$438.16。🏆6/9 PwC報告:TSMC市值年增+101%至$1.427兆、躋身全球第9大市值企業(自第12名躍升)。⭐中長線基底未變：2nm量產70-80%良率領先全球、年底月產能100K片、3nm漲價15%、NVIDIA $150B/年投資台灣、NVIDIA-TSMC AI製程合作、Intel CEO確認長期夥伴、SIA估2028 AI資料中心晶片年營收$1.2兆。基本面：Q1 2026淨利NT$572.5B(+58.3% YoY)、毛利率66.2%雙創史高、2025全年EPS NT$66.25。32位分析師全數看多、平均目標NT$2,530(上行+9.76%)。⚠️估值警示TSM P/E ~33.9x仍在5年88-90%高位。下一里程碑：6月營收7月上旬、Q2法說會7/16。</t>
        </is>
      </c>
      <c r="G64" s="53" t="inlineStr">
        <is>
          <t>Yahoo Finance / Bloomberg</t>
        </is>
      </c>
    </row>
    <row r="65">
      <c r="A65" s="50" t="inlineStr">
        <is>
          <t>2026-06-11</t>
        </is>
      </c>
      <c r="B65" s="50" t="inlineStr">
        <is>
          <t>NT$2,275</t>
        </is>
      </c>
      <c r="C65" s="51" t="inlineStr">
        <is>
          <t>+0.89%</t>
        </is>
      </c>
      <c r="D65" s="50" t="inlineStr">
        <is>
          <t>US$408.75</t>
        </is>
      </c>
      <c r="E65" s="50" t="inlineStr">
        <is>
          <t>30,500</t>
        </is>
      </c>
      <c r="F65" s="52" t="inlineStr">
        <is>
          <t>✅利多消化後反彈：6/11 Thu台股2330盤中翻紅至NT$2,275(+20,+0.89% vs 6/10 NT$2,255)、量縮整理約30,500張、市值回升NT$59.0兆——昨日6/10利多出盡-2.17% sell-the-news後逢低買盤回補、record-revenue基本面獲確認。⭐今日頭條(續)：TSMC 5月合併月營收NT$4,169.75億(NT$416.975億元、US$13.17B)：年增+30.1%、月增+1.5%、創史上單月新高；1-5月累計NT$1.96兆、年增+30%；Taipei Times 6/11確認record revenue、CEO魏哲家重申「全球半導體供應將數年內持續落後AI需求」；分析師認為公司well-positioned達成Q2指引($39.0-40.2B、+10% QoQ、+32% YoY)、可望挑戰單季營收新高(超越前高NT$1.23兆)。⚠️昨日(6/10)回顧：台股收NT$2,255(-2.17%)放量、NYSE TSM重挫-4.47%收$408.75(-$19.14)；US 6/11尚未開盤、今晚ADR走勢為次日台股關鍵。台美ADR溢價自+12.57%進一步收斂至+11.57%。6/11估三大法人合計轉買超+5,600張(外資+4,500、投信+800、自營+300)、外資持股回升75.1%。💰TSMC CFO暗示先進製程續漲價(3nm H2漲15%、sub-5nm漲5-10%)支撐毛利率。🏆PwC報告:TSMC市值年增+101%躋身全球第9大市值企業。⭐中長線基底未變：2nm量產70-80%良率領先全球、年底月產能100K片、AGM CEO魏哲家確認AI需求超供應、NVIDIA $150B/年投資台灣+RTX Spark由TSMC代工、4大美國CSP 2026 AI CapEx合計$725B(+77% YoY)、Intel CEO確認長期夥伴。基本面：Q1 2026淨利NT$572.5B(+58.3% YoY)、毛利率66.2%雙創史高、2025全年EPS NT$66.25。32位分析師全數看多、平均目標NT$2,530(上行+11.21%)。⚠️估值警示TSM P/E ~33.5x仍在5年88-90%高位、關鍵守住NT$2,250、站回NT$2,295。下一里程碑：6月營收7月上旬、Q2法說會7/16。</t>
        </is>
      </c>
      <c r="G65" s="50" t="inlineStr">
        <is>
          <t>Yahoo Finance / Bloomberg</t>
        </is>
      </c>
    </row>
    <row r="66">
      <c r="A66" s="53" t="inlineStr">
        <is>
          <t>2026-06-12</t>
        </is>
      </c>
      <c r="B66" s="53" t="inlineStr">
        <is>
          <t>NT$2,310</t>
        </is>
      </c>
      <c r="C66" s="54" t="inlineStr">
        <is>
          <t>+2.67%</t>
        </is>
      </c>
      <c r="D66" s="53" t="inlineStr">
        <is>
          <t>US$423.93</t>
        </is>
      </c>
      <c r="E66" s="53" t="inlineStr">
        <is>
          <t>45,000</t>
        </is>
      </c>
      <c r="F66" s="55" t="inlineStr">
        <is>
          <t>✅TSMC反彈延續、台美雙市連2日收紅：NYSE TSM 6/12收$423.93(+$2.86、+0.68% vs 6/11 $421.07)連2紅、消化6/10 sell-the-news賣壓；台股2330 6/12放量收NT$2,310(+60、+2.67% vs 6/11 NT$2,250)、市值回升NT$59.9兆、加權指數大漲+1,019.58點站回44,000+。💡重大技術進展：分析師郭明錤6/10揭露TSMC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~35.1x仍在5年高位、關鍵守住NT$2,250、6/15站穩NT$2,310/5MA並挑戰NT$2,365。下一里程碑：6月營收7月上旬、Q2法說會7/16。</t>
        </is>
      </c>
      <c r="G66" s="53" t="inlineStr">
        <is>
          <t>Yahoo Finance / Bloomberg</t>
        </is>
      </c>
    </row>
    <row r="67">
      <c r="A67" s="50" t="inlineStr">
        <is>
          <t>2026-06-15</t>
        </is>
      </c>
      <c r="B67" s="50" t="inlineStr">
        <is>
          <t>NT$2,310</t>
        </is>
      </c>
      <c r="C67" s="58" t="inlineStr">
        <is>
          <t>盤中待確認</t>
        </is>
      </c>
      <c r="D67" s="50" t="inlineStr">
        <is>
          <t>US$423.93</t>
        </is>
      </c>
      <c r="E67" s="50" t="inlineStr">
        <is>
          <t>—</t>
        </is>
      </c>
      <c r="F67" s="52" t="inlineStr">
        <is>
          <t>報告日2026-06-15(Mon)；NYSE週末休市、最新確認為6/12收$423.93(+0.68%)連2紅；台股2330最新確認6/12收NT$2,310(+2.67%)、6/15盤中官方收盤待確認。✅TSMC反彈延續、台美雙市6/12連2日收紅、加權指數+1,019.58點站回44,000+；6/15觀察：能否站穩NT$2,310/5MA並挑戰NT$2,365前高、外資能否在ADR連2紅後止賣轉買。💡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~35.1x仍在5年高位、關鍵守住NT$2,250。下一里程碑：6月營收7月上旬、Q2法說會7/16。</t>
        </is>
      </c>
      <c r="G67" s="50" t="inlineStr">
        <is>
          <t>Yahoo Finance / Bloomberg</t>
        </is>
      </c>
    </row>
    <row r="68">
      <c r="A68" s="53" t="inlineStr">
        <is>
          <t>2026-06-16</t>
        </is>
      </c>
      <c r="B68" s="53" t="inlineStr">
        <is>
          <t>NT$2,375</t>
        </is>
      </c>
      <c r="C68" s="54" t="inlineStr">
        <is>
          <t>+2.81%</t>
        </is>
      </c>
      <c r="D68" s="53" t="inlineStr">
        <is>
          <t>US$441.40</t>
        </is>
      </c>
      <c r="E68" s="53" t="inlineStr">
        <is>
          <t>55,000</t>
        </is>
      </c>
      <c r="F68" s="55" t="inlineStr">
        <is>
          <t>報告日2026-06-16(Tue)；NYSE TSM 6/15收$441.40(+4.12%、+$17.47)飆漲逼近52週/史高$450.16、市值$1.95兆、成交量1,118萬股(最新確認、6/16盤後待確認)；台股2330 6/16跟進ADR大漲放量上攻收NT$2,375(+65、+2.81% vs 6/12 NT$2,310)、市值回升NT$61.6兆、半導體類股全面強攻(NVDA+2.79%、SOX+3.20%)。🤝重大合作：SK集團會長崔泰源6/3會晤TSMC董事長魏哲家、SK海力士-TSMC深化HBM4合作(基底晶粒base die、先進邏輯製程、客製化AI記憶體)。💰TSMC CFO重申先進製程漲價勢在必行(通膨+AI需求)、3nm H2漲~15%、sub-5nm漲5-10%；CEO魏哲家重申全球晶片供應數年內持續落後AI需求、Arizona廠訂單滿至2027、Q2月產能160K-175K片。🏆NVIDIA確認TSMC第1大客戶(22%/$33B、超越Apple)、發表Vera CPU+RTX Spark超晶片由TSMC代工挑戰Intel/AMD；NVIDIA-TSMC將AI導入晶圓廠(cuLitho/cuEST/FabTwin)提升良率。💡CoPoS玻璃封裝2028 H2量產、支援超光罩9.5倍超大封裝、NVIDIA Feynman潛在首批採用。⚠️競爭雜訊：Google向Intel Foundry下單逾300萬顆自研TPU(2028交付)、Samsung推進HPB封裝。台美ADR溢價(以6/15 ADR$441.40+6/16台股NT$2,375計)+15.41%。⭐中長線基底未變：5月營收NT$4,169.75億+30.1%創單月新高、2nm量產70-80%良率領先全球、4大美國CSP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NT$66.25。32位分析師全數看多、平均目標NT$2,530(上行+6.53%)。⚠️估值警示TSM P/E 32.7x、台股P/E~35x、逼近史高留意獲利了結；上方壓力NT$2,400/NT$2,440史高、下方支撐NT$2,310/NT$2,250。下一里程碑：6月營收7月上旬、Q2法說會7/16。</t>
        </is>
      </c>
      <c r="G68" s="53" t="inlineStr">
        <is>
          <t>Yahoo Finance / Bloomberg</t>
        </is>
      </c>
    </row>
    <row r="69">
      <c r="A69" s="50" t="inlineStr">
        <is>
          <t>2026-06-17</t>
        </is>
      </c>
      <c r="B69" s="50" t="inlineStr">
        <is>
          <t>NT$2,315</t>
        </is>
      </c>
      <c r="C69" s="57" t="inlineStr">
        <is>
          <t>-2.53%</t>
        </is>
      </c>
      <c r="D69" s="50" t="inlineStr">
        <is>
          <t>US$425.83</t>
        </is>
      </c>
      <c r="E69" s="50" t="inlineStr">
        <is>
          <t>50,000</t>
        </is>
      </c>
      <c r="F69" s="52" t="inlineStr">
        <is>
          <t>報告日2026-06-17(Wed)；NYSE TSM 6/16收$425.83(-3.53%、-$15.57)自逼近52週/史高$450.16高位獲利了結、市值$1.97兆、成交量1,109萬股、P/E 33.07(最新確認、6/17盤後待確認)；台股2330 6/17跟進ADR回檔估收NT$2,315(-60、-2.53% vs 6/16 NT$2,375)、市值回落NT$60.0兆、半導體類股同步回吐(NVDA-2.91%、SOX-3.35%)。🤝重大合作：TSMC-Amkor簽10年美國先進封裝長約、Amkor就近承接Arizona廠晶圓封測、強化美國供應鏈在地化、呼應TSMC $165B美國投資承諾。🤝SK海力士-TSMC深化HBM4合作(基底晶粒base die、先進邏輯製程、客製化AI記憶體)。💰TSMC CFO重申先進製程漲價勢在必行(通膨+AI需求)、3nm H2漲~15%、sub-5nm漲5-10%；CEO魏哲家重申全球晶片供應數年內持續落後AI需求、不願成為瓶頸、Arizona廠訂單滿至2027。🏆NVIDIA確認TSMC第1大客戶(22%/$33B、超越Apple)；NVIDIA-TSMC將AI導入晶圓廠(cuLitho/cuEST/FabTwin)提升良率。📦CoWoS封裝瓶頸續為產業關鍵、TSMC規劃2026底擴至~130K wpm、5.5倍光罩封裝良率&gt;98%。⚠️競爭雜訊：Google向Intel Foundry下單逾300萬顆自研TPU(2028交付)、Samsung推進HPB封裝。台美ADR溢價(以6/16 ADR$425.83+6/17台股NT$2,315計)+14.23%。⭐中長線基底未變：5月營收NT$4,169.75億+30.1%創單月新高、2nm量產70-80%良率領先全球、4大美國CSP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NT$66.25。32位分析師全數看多、平均目標NT$2,530(上行+9.29%)。⚠️估值警示TSM P/E 33.1x、台股P/E~34x、逼近史高後回檔留意賣壓延續；上方壓力NT$2,375/NT$2,400/NT$2,440史高、下方支撐NT$2,300/NT$2,250。下一里程碑：6月營收7月上旬、Q2法說會7/16。</t>
        </is>
      </c>
      <c r="G69" s="50" t="inlineStr">
        <is>
          <t>Yahoo Finance / Bloomberg</t>
        </is>
      </c>
    </row>
    <row r="70">
      <c r="A70" s="53" t="inlineStr">
        <is>
          <t>2026-06-18</t>
        </is>
      </c>
      <c r="B70" s="53" t="inlineStr">
        <is>
          <t>NT$2,385</t>
        </is>
      </c>
      <c r="C70" s="54" t="inlineStr">
        <is>
          <t>+0.42%</t>
        </is>
      </c>
      <c r="D70" s="53" t="inlineStr">
        <is>
          <t>US$432.15</t>
        </is>
      </c>
      <c r="E70" s="53" t="inlineStr">
        <is>
          <t>46,000</t>
        </is>
      </c>
      <c r="F70" s="55" t="inlineStr">
        <is>
          <t>報告日2026-06-18(Thu)；NYSE TSM 6/17收$432.15(+1.48%、+$6.32 vs 6/16$425.83)自6/16 -3.53%回檔後低接回補、盤中觸$439.60、市值$1.96兆、成交量1,096萬股、P/E 32.79(最新確認)；台股2330 6/18跟進ADR反彈實際收NT$2,385(+10、+0.42% vs 6/17實際NT$2,375、昨量30,228張)、市值回升NT$61.9兆、半導體類股回溫(NVDA+2.59%、SOX+2.71%)。🛰️頭條：SpaceX創紀錄IPO(估值$2.519兆、募資~$750億、+19.6%)市值超越TSMC($2.289兆)、將台積電擠至全球市值第7(屬外部排名變動、基本面未受影響)。🤝TSMC-Amkor簽10年美國先進封裝長約(6/16公告、Peoria AZ廠投資$20億→$70億、2028投產、~2,000就業、InFO/CoWoS)、強化美國供應鏈在地化、呼應TSMC $165B美國投資承諾。🏆NVIDIA確認TSMC第1大客戶(22%/$33B)；Vera Rubin NVL72採TSMC N3+CoWoS-L、首搭8層HBM4。🤝SK海力士-TSMC深化HBM4合作(基底晶粒base die、先進邏輯製程、客製AI記憶體)。💰TSMC CFO重申先進製程漲價勢在必行(通膨+AI需求)、3nm H2漲~15%、sub-5nm漲5-10%。⚠️競爭雜訊：Google向Intel Foundry下單逾300萬顆自研TPU(2028交付)。台美ADR溢價(以6/17 ADR$432.15+6/18台股NT$2,385計)+12.52%。⚠️6/19端午節TWSE休市、6/18為連假前最後交易日。⭐中長線基底未變：5月營收NT$4,169.75億+30.1%創單月新高、2nm量產70-80%良率領先全球、4大美國CSP 2026 AI CapEx合計$725B、2026全球半導體市場估+25% YoY達~$975B。基本面：Q1 2026淨利NT$572.5B(+58.3% YoY)、毛利率66.2%雙創史高、2025全年EPS NT$66.25。32位分析師全數看多、平均目標NT$2,530(上行+6.08%)。⚠️估值警示TSM P/E 32.8x、台股P/E~35x、留意台幣升值；上方壓力NT$2,400/NT$2,425/NT$2,440史高、下方支撐NT$2,360/NT$2,310。下一里程碑：6月營收7月上旬、Q2法說會7/16。</t>
        </is>
      </c>
      <c r="G70" s="53" t="inlineStr">
        <is>
          <t>Yahoo Finance / Bloomberg</t>
        </is>
      </c>
    </row>
    <row r="71">
      <c r="A71" s="50" t="inlineStr">
        <is>
          <t>2026-06-22</t>
        </is>
      </c>
      <c r="B71" s="50" t="inlineStr">
        <is>
          <t>NT$2,410</t>
        </is>
      </c>
      <c r="C71" s="51" t="inlineStr">
        <is>
          <t>+1.05%</t>
        </is>
      </c>
      <c r="D71" s="50" t="inlineStr">
        <is>
          <t>US$462.12</t>
        </is>
      </c>
      <c r="E71" s="50" t="inlineStr">
        <is>
          <t>49,982</t>
        </is>
      </c>
      <c r="F71" s="52" t="inlineStr">
        <is>
          <t>報告日2026-06-22(Mon)；🚀NYSE TSM 6/18創紀錄飆漲收$462.12(+6.94%、+$29.97 vs $432.15)、盤中觸52週/歷史新高$465.22、市值$1.98兆、量2,582萬股、P/E 33.14(最新確認)；台股2330 6/18官方收NT$2,410(+25、+1.05% vs 6/17 NT$2,385、盤中觸NT$2,440史高、量49,982張)、加權指數+901.85點收46,459連4日創新高(前報估值2,385已更正)；6/19端午休市、6/22今日交易中受ADR飆漲帶動預期跳空跟漲、官方收盤待TWSE。🤝本波飆漲主因TSMC-Amkor簽10年美國先進封裝長約(6/16公告、Peoria AZ廠$20億→$70億、2028投產、~2,000就業、InFO/CoWoS、呼應$165B美國投資)+分析師升評+AI需求。🏆NVIDIA確認TSMC第1大客戶(22%/$33B)、為A16(1.6nm)首發客戶2027量產；Apple跳過A16直上A14。⚠️新增風險：(1)Apple同意與Intel合作在美生產晶片降低對TSMC依賴、Google/AMD/Tesla接觸Samsung；Intel飆漲+10.6%創新高；(2)TSMC遭美ITC專利調查(Longitude/Marlin控訴)、6月預計初判、恐對含AI加速器技術晶片發布美國進口禁令。📊台美ADR溢價(以6/18 ADR$462.12+台股NT$2,410計)大幅擴大至+19.08%、6/22台股有補漲壓力。⭐中長線基底未變：5月營收NT$4,169.75億+30.1%創單月新高、2nm量產70-80%良率領先全球、4大美國CSP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NT$66.25。32位分析師全數看多、平均目標NT$2,530(上行+4.98%)。⚠️估值警示TSM P/E 33.1x、台股P/E~35.5x、留意台幣升值與短線過熱；上方壓力NT$2,440史高/NT$2,500、下方支撐NT$2,410/NT$2,375。下一里程碑：6月營收7月上旬、Q2法說會7/16。</t>
        </is>
      </c>
      <c r="G71" s="50" t="inlineStr">
        <is>
          <t>Yahoo Finance / Bloomberg</t>
        </is>
      </c>
    </row>
    <row r="72">
      <c r="A72" s="53" t="inlineStr">
        <is>
          <t>2026-06-23</t>
        </is>
      </c>
      <c r="B72" s="53" t="inlineStr">
        <is>
          <t>NT$2,510</t>
        </is>
      </c>
      <c r="C72" s="54" t="inlineStr">
        <is>
          <t>+4.15%</t>
        </is>
      </c>
      <c r="D72" s="53" t="inlineStr">
        <is>
          <t>US$467.67</t>
        </is>
      </c>
      <c r="E72" s="53" t="inlineStr">
        <is>
          <t>39,134</t>
        </is>
      </c>
      <c r="F72" s="55" t="inlineStr">
        <is>
          <t>報告日2026-06-23(Tue)；🚀台美雙市再創歷史新高：台股2330 6/22官方收NT$2,510(+100、+4.15% vs 6/18 NT$2,410、收最高、量39,134張、市值NT$65.1兆)創史高，受6/18 NYSE +6.94%飆漲與6/19美股交易帶動跳空大漲；NYSE TSM 6/22收$467.67(+$5.55、+1.20% vs 6/19~$462.12)再創收盤紀錄新高、市值約$2.4兆、P/E~33.5(最新確認)；6/19端午休市、6/23今日台股開盤NT$2,455自史高小幅拉回、交易中、官方收盤待TWSE。📊台美ADR溢價(以6/22 ADR$467.67+台股NT$2,510計)收斂至+15.71%(自6/18 +19.08%)、台股已補漲跟上。🤝本波飆漲主因TSMC-Amkor簽10年美國先進封裝長約(6/16公告、Peoria AZ廠$20億→$70億、2028投產、~2,000就業、InFO/CoWoS、呼應$165B美國投資)+分析師升評+AI需求。📦新動態：TSMC加速CoPoS面板級封裝布局、目標6月底完成材料/設備驗證、擴大AI封裝產能；惟Samsung PLP技術仍領先數年。🏆NVIDIA確認TSMC第1大客戶(22%/$33B)、為A16(1.6nm)首發客戶2027量產、6月完成$250億債券發行；Apple跳過A16直上A14。⚠️風險續追蹤：(1)Apple同意與Intel合作在美生產晶片降低對TSMC依賴、Google/AMD/Tesla接觸Samsung、Intel與UMC結盟；(2)TSMC遭美ITC專利調查(Longitude/Marlin控訴)、6月預計初判、恐對含AI加速器技術晶片發布美國進口禁令。⭐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NT$66.25。32位分析師全數看多、平均目標NT$2,530(已趨近、上行+0.80%、待法說會上修)。⚠️估值警示TSM P/E~33.5x、台股P/E~37.0x、留意台幣升值與短線過熱(RSI 74/KDJ J96進入超買)；上方壓力NT$2,510史高/NT$2,550、下方支撐NT$2,455/NT$2,410。下一里程碑：6月營收7月上旬、Q2法說會7/16。</t>
        </is>
      </c>
      <c r="G72" s="53" t="inlineStr">
        <is>
          <t>Yahoo Finance / Bloomberg</t>
        </is>
      </c>
    </row>
    <row r="73">
      <c r="A73" s="50" t="inlineStr">
        <is>
          <t>2026-06-24</t>
        </is>
      </c>
      <c r="B73" s="50" t="inlineStr">
        <is>
          <t>NT$2,490</t>
        </is>
      </c>
      <c r="C73" s="57" t="inlineStr">
        <is>
          <t>-0.80%</t>
        </is>
      </c>
      <c r="D73" s="50" t="inlineStr">
        <is>
          <t>US$436.39</t>
        </is>
      </c>
      <c r="E73" s="50" t="inlineStr">
        <is>
          <t>34,148</t>
        </is>
      </c>
      <c r="F73" s="52" t="inlineStr">
        <is>
          <t>報告日2026-06-24(Wed)；⚠️半導體全面拋售、ADR暴跌但台股抗跌：NYSE TSM 6/23暴跌-6.69%收$436.39(-$31.28 vs 6/22 $467.67、市值回落約$1.97兆、P/E~31.3)，半導體類股全面拋售——Micron -11.4%、AMD -6.25%、AVGO -5.02%、設備股跌4.5-5%；崩跌觸發：Broadcom指引不如預期引爆sell-the-news+BoFA升息報告推升美債殖利率+亞股下挫+AI過熱疑慮+財報前獲利了結，單日逾千億美元半導體市值蒸發。台股2330 6/23官方收NT$2,490(-20、-0.80% vs 6/22 NT$2,510、量34,148張、市值NT$64.6兆)相對抗跌、盤中觸歷史新高NT$2,535後拉回收最低；6/24今日台股交易中、料跟進ADR暴跌跳空走低、官方收盤待TWSE。📊台美ADR溢價(以6/23 ADR$436.39+台股NT$2,490計)自+15.71%大幅收斂至+8.83%、台股短線恐有補跌壓力。⚠️TSMC 4-5月營收合計+24% YoY低於華爾街~35%預期、近期營收恐miss、6月營收(7月上旬)為關鍵catalyst。📈逆勢利多：Susquehanna將TSM目標價自$500上調至$575。⭐中長線基底未變：TSMC-Amkor簽10年美國先進封裝長約(6/16公告、Peoria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NT$66.25。32位分析師全數看多、平均目標NT$2,530(上行+1.61%、待7/16法說會重估)。⚠️估值警示TSM P/E~31.3x、台股P/E~36.7x、仍在5年90%+高位、留意6月營收miss風險與台幣升值；上方壓力NT$2,510/NT$2,535史高、下方支撐NT$2,450/NT$2,410。下一里程碑：6月營收7月上旬(關鍵)、Q2法說會7/16。</t>
        </is>
      </c>
      <c r="G73" s="50" t="inlineStr">
        <is>
          <t>Yahoo Finance / Bloomberg</t>
        </is>
      </c>
    </row>
    <row r="74">
      <c r="A74" s="53" t="inlineStr">
        <is>
          <t>2026-06-25</t>
        </is>
      </c>
      <c r="B74" s="53" t="inlineStr">
        <is>
          <t>NT$2,390</t>
        </is>
      </c>
      <c r="C74" s="56" t="inlineStr">
        <is>
          <t>-4.02%</t>
        </is>
      </c>
      <c r="D74" s="53" t="inlineStr">
        <is>
          <t>US$441.35</t>
        </is>
      </c>
      <c r="E74" s="53" t="inlineStr">
        <is>
          <t>12,657</t>
        </is>
      </c>
      <c r="F74" s="55" t="inlineStr">
        <is>
          <t>報告日2026-06-25(Thu)；⭐今日頭條——TSMC全面調漲晶圓代工報價5-10%、ADR反彈但台股補跌：⭐TSMC對7nm以下所有先進製程(佔營收約75%)全面調漲5-10%報價、以平均5%估算可貢獻全年毛利率+2pp以上，消息帶動NYSE TSM 6/24 Wed反彈+1.14%收$441.35(+$4.96 vs 6/23 $436.39、日內$432.58-$443.85、市值約$2.05兆、P/E~31.6)。📉台股2330 6/24 Wed補跌-4.02%官方收NT$2,390(-100 vs 6/23 NT$2,490、開2,435高2,445低2,390收最低、量12,657張、市值NT$62.0兆)——跟進6/23 ADR暴跌-6.69%跳空走低、台股加權同日重挫-1,057點寫史上第8慘、半導體類股全面回檔；6/25今日台股交易中、料跟進ADR反彈、官方收盤待TWSE。📊台美ADR溢價(以6/24 ADR$441.35+台股NT$2,390計)自+8.83%回升至+14.68%、台股短線料補漲收斂。⚠️漲價雙面刃：利多毛利率，但傳客戶(含Apple)措手不及、恐促部分客戶調整下單量或轉向UMC等成熟製程替代。⚠️近期營收疑慮續存——TSMC 4-5月營收合計+24% YoY低於華爾街~35%預期、6月營收(7月上旬)為關鍵catalyst。📈Susquehanna將TSM目標價自$500上調至$575。⭐中長線基底未變：TSMC-Amkor簽10年美國先進封裝長約(6/16公告、Peoria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NT$66.25。32位分析師全數看多、平均目標NT$2,530(上行+5.86%自NT$2,390、待7/16法說會重估)。⚠️估值警示TSM P/E~31.6x、台股P/E~35.2x、留意6月營收miss風險與台幣升值；下方支撐NT$2,350/NT$2,310、上方壓力NT$2,450/NT$2,490/NT$2,535史高。下一里程碑：6月營收7月上旬(關鍵)、Q2法說會7/16。</t>
        </is>
      </c>
      <c r="G74" s="53" t="inlineStr">
        <is>
          <t>Yahoo Finance / Bloomberg</t>
        </is>
      </c>
    </row>
    <row r="75">
      <c r="A75" s="50" t="inlineStr">
        <is>
          <t>2026-06-26</t>
        </is>
      </c>
      <c r="B75" s="50" t="inlineStr">
        <is>
          <t>NT$2,390</t>
        </is>
      </c>
      <c r="C75" s="58" t="inlineStr">
        <is>
          <t>0.00%</t>
        </is>
      </c>
      <c r="D75" s="50" t="inlineStr">
        <is>
          <t>US$440.83</t>
        </is>
      </c>
      <c r="E75" s="50" t="inlineStr">
        <is>
          <t>34,271</t>
        </is>
      </c>
      <c r="F75" s="52" t="inlineStr">
        <is>
          <t>報告日2026-06-26(Fri)；⭐今日頭條——TSMC晶圓代工漲價題材為結構性主軸、惟隔夜漲幅回吐：⭐漲價範圍確認擴大至7nm以下全部先進製程(含N7/N5/N3、佔晶圓營收約75%，N3單一佔25%)、幅度5-10%視客戶/節點/產品、部分已實施，以平均5%估可貢獻全年毛利率+2pp以上。📈NYSE TSM 6/25 Thu收$440.83(+1.02%、+$4.44、市值約$2.05兆、P/E~31.6)，盤後一度+2.48%至$451.76(日內高$452.56)；⚠️惟6/26盤中漲幅回吐、最新約$435.42(-1.2%、日內區間$432.50–$452.56)——隔夜題材熱度降溫。📊台股2330 6/25 Thu收NT$2,390平盤(0.00%、量34,271張、成交值NT$822.97億、尾盤賣壓自2,410殺回2,390)；6/26今日交易中、官方收盤待TWSE。📊台美ADR溢價(以6/25 ADR$440.83+台股NT$2,390計)+14.54%(最新$435.42計收斂至+13.14%)。💡Benzinga：漲價雖壓縮NVIDIA毛利、惟AI需求剛性+轉嫁能力強、長期反為NVIDIA利多;⚠️價格敏感客戶(含Apple/手機SoC)影響較大、恐調整下單或評估替代。🛠️Applied Materials 6/25推新一代設備加速DRAM與AI先進封裝(HBM/3D堆疊);💰TSMC董事會核准大額CapEx/發債/小幅減資支應今年9期擴廠;🔧Tensordyne其TSMC代工Napier晶片獲逾$200M訂單。⚠️近期營收疑慮續存——TSMC 4-5月營收合計+24% YoY低於華爾街~35%預期、6月營收(7月上旬)為關鍵catalyst;5月營收NT$4,169.75億(+30.1%)創單月新高、1-5月累計NT$1.96兆。⭐中長線基底未變：TSMC-Amkor 10年美國先進封裝長約(Peoria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CapEx合計$725B。⚠️風險續追蹤：(1)TSMC遭美ITC專利調查(Longitude/Marlin控訴)、6月底預計初判、恐對含AI加速器技術晶片發布美國進口禁令;(2)Apple與Intel合作在美生產晶片、Google/AMD/Tesla接觸Samsung、Intel 18A-P風險量產+UMC結盟。基本面：Q1 2026淨利NT$572.5B(+58.3% YoY)、毛利率66.2%雙創史高、2025全年EPS NT$66.25。32位分析師全數看多、平均目標NT$2,530(上行+5.86%自NT$2,390、Susquehanna 6/23上調$575、待7/16法說會重估);24/7 Wall St探討TSM年底前能否站上$500。⚠️估值警示TSM P/E~31.6x、台股P/E~35.2x；下方支撐NT$2,350/NT$2,310、上方壓力NT$2,450/NT$2,490/NT$2,535史高。下一里程碑：ITC初判6月底、6月營收7月上旬(關鍵)、Q2法說會7/16。</t>
        </is>
      </c>
      <c r="G75" s="50" t="inlineStr">
        <is>
          <t>Yahoo Finance / Bloomberg</t>
        </is>
      </c>
    </row>
    <row r="76">
      <c r="A76" s="53" t="inlineStr">
        <is>
          <t>2026-06-29</t>
        </is>
      </c>
      <c r="B76" s="53" t="inlineStr">
        <is>
          <t>NT$2,340</t>
        </is>
      </c>
      <c r="C76" s="56" t="inlineStr">
        <is>
          <t>-2.09%</t>
        </is>
      </c>
      <c r="D76" s="53" t="inlineStr">
        <is>
          <t>US$432.35</t>
        </is>
      </c>
      <c r="E76" s="53" t="inlineStr">
        <is>
          <t>53,800</t>
        </is>
      </c>
      <c r="F76" s="55" t="inlineStr">
        <is>
          <t>報告日2026-06-29(Mon)；⭐今日頭條——TSMC漲價題材仍為結構性主軸、惟上週五雙市回吐隔夜漲價漲幅：📉台股2330 6/26 Fri收NT$2,340(-50、-2.09%、量放大53,800張)自6/25 NT$2,390回落——隔夜ADR漲價漲幅回吐+近期營收疑慮+外資賣超(6/26外資賣超6,104張、投信買超179張、自營賣超310張、三大法人合計賣超6,235張)拖累。📉NYSE TSM 6/26 Fri收$432.35(-0.61%、-$2.64、前收$434.99、市值約$2.0兆、P/E~31.0、日內$419.19–$436.13)，連續回吐6/24漲價題材帶動之隔夜漲幅、估值與營收疑慮拉鋸。⭐漲價題材結構性利多未變：範圍確認擴大至7nm以下全部先進製程(含N7/N5/N3、佔晶圓營收約75%、N3單一佔25%)、幅度5-10%視客戶/節點/產品、部分已實施，以平均5%估可貢獻全年毛利率+2pp以上。📊台股6/29今日開盤約NT$2,350(+0.43% vs 6/26)小反彈、官方收盤待TWSE。📊台美ADR溢價(以6/26 ADR$432.35+台股NT$2,340、匯率31.05計)+14.74%。💡Benzinga：漲價雖壓縮NVIDIA毛利、惟AI需求剛性+轉嫁能力強、長期反為NVIDIA利多;⚠️價格敏感客戶(含Apple/手機SoC)影響較大、恐調整下單或評估替代。⚠️近期營收疑慮續存——TSMC 4-5月營收合計+24% YoY低於華爾街~35%預期、6月營收(7月上旬)為關鍵catalyst;5月營收NT$4,169.75億(+30.1%)創單月新高、1-5月累計NT$1.96兆。⚠️ITC專利調查初判預計本週(6月底)出爐、為短線關鍵雜訊。🛠️產業競局升溫：Intel 18A-P進入風險量產+UMC結盟、AMD瞄準$1,200億市場、Qualcomm推Dragonfly;Samsung/SK海力士送樣第7代HBM4E;Applied Materials 6/25推新一代設備加速DRAM與AI先進封裝。⭐中長線基底未變：TSMC-Amkor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CapEx合計$725B。⚠️風險續追蹤：(1)TSMC遭美ITC專利調查(Longitude/Marlin控訴)、6月底(本週)預計初判、恐對含AI加速器技術晶片發布美國進口禁令;(2)Apple與Intel合作在美生產晶片、Google/AMD/Tesla接觸Samsung。基本面：Q1 2026淨利NT$572.5B(+58.3% YoY)、毛利率66.2%雙創史高、2025全年EPS NT$66.25。32位分析師全數看多、平均目標NT$2,530(上行+8.12%自NT$2,340、Susquehanna 6/23上調$575、待7/16法說會重估)。⚠️估值警示TSM P/E~31.0x、台股P/E~34.5x；下方支撐NT$2,310/NT$2,250、上方壓力NT$2,390/NT$2,450/NT$2,535史高。下一里程碑：ITC初判6月底(本週)、6月營收7月上旬(關鍵)、Q2法說會7/16。</t>
        </is>
      </c>
      <c r="G76" s="53" t="inlineStr">
        <is>
          <t>Yahoo Finance / Bloomberg</t>
        </is>
      </c>
    </row>
    <row r="77">
      <c r="A77" s="50" t="inlineStr">
        <is>
          <t>2026-06-30</t>
        </is>
      </c>
      <c r="B77" s="50" t="inlineStr">
        <is>
          <t>NT$2,465*</t>
        </is>
      </c>
      <c r="C77" s="51" t="inlineStr">
        <is>
          <t>+4.01%</t>
        </is>
      </c>
      <c r="D77" s="50" t="inlineStr">
        <is>
          <t>US$455.10</t>
        </is>
      </c>
      <c r="E77" s="50" t="inlineStr">
        <is>
          <t>9,257*</t>
        </is>
      </c>
      <c r="F77" s="52" t="inlineStr">
        <is>
          <t>報告日2026-06-30(Tue)；🚀今日頭條——台股跳空補漲、台美雙市共振確認漲價升級題材：🚀台股2330 6/30盤中跳空大漲至NT$2,465(+95、+4.01% vs 6/29 NT$2,370、開2,440/高2,475/低2,435、09:12即時、官方收盤待TWSE)跟進NYSE 6/29隔夜+5.26%補漲、突破5MA/20MA;🚀NYSE TSM 6/29 Mon大漲+5.26%(+$22.75)收$455.10創波段新高、市值約$2.1兆(P/E~32.5、前收$432.35)、6/30美股盤待今晚開盤。三大催化：⭐TSMC與華邦電(Winbond)合作將CUBE特殊DRAM導入WoW 3D晶圓堆疊/SoIC先進封裝、把關鍵記憶體留台、降低對Samsung/SK海力士HBM依賴(在地化估縮短週期66%、降運費90%);⭐漲價定價力擴及先進+成熟製程(佔晶圓營收~75%、幅度5-10%、估全年毛利率+2pp以上);📈Bank of America等多家機構上調目標(彙整平均$468.08、最高$600、最低$351)。📊台美ADR溢價(以6/29 ADR$455.10+台股6/30盤中NT$2,465、匯率31.05計)自+19.25%收斂至+14.65%、台股補漲收斂台美價差。⚠️漲價雙面刃——客戶(Apple/NVIDIA/AMD/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本週(6月底)出爐、為短線關鍵雜訊。⭐中長線基底未變：Winbond特殊DRAM自主供應+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CapEx合計$725B。⚠️風險續追蹤：(1)TSMC遭美ITC專利調查(Longitude/Marlin控訴)、6月底(本週)預計初判、恐對含AI加速器技術晶片發布美國進口禁令;(2)Apple與Intel合作在美生產晶片、Intel 18A-P風險量產+UMC結盟、Google/AMD/Tesla接觸Samsung。基本面：Q1 2026淨利NT$572.5B(+58.3% YoY)、毛利率66.2%雙創史高、2025全年EPS NT$66.25。分析師全面看多、BofA等上調目標(彙整平均$468.08、最高$600)。⚠️估值警示TSM P/E~32.5x、台股P/E~36.4x；下方支撐NT$2,400/NT$2,370、上方壓力NT$2,490/NT$2,535史高。下一里程碑：ITC初判6月底(本週)、6月營收7月上旬(關鍵)、Q2法說會7/16。</t>
        </is>
      </c>
      <c r="G77" s="50" t="inlineStr">
        <is>
          <t>Yahoo Finance / Bloomberg</t>
        </is>
      </c>
    </row>
    <row r="78">
      <c r="A78" s="53" t="inlineStr">
        <is>
          <t>2026-07-01</t>
        </is>
      </c>
      <c r="B78" s="53" t="inlineStr">
        <is>
          <t>NT$2,455</t>
        </is>
      </c>
      <c r="C78" s="54" t="inlineStr">
        <is>
          <t>+3.59%</t>
        </is>
      </c>
      <c r="D78" s="53" t="inlineStr">
        <is>
          <t>US$468.80</t>
        </is>
      </c>
      <c r="E78" s="53" t="inlineStr">
        <is>
          <t>15,514</t>
        </is>
      </c>
      <c r="F78" s="55" t="inlineStr">
        <is>
          <t>報告日2026-07-01(Wed)；🚀今日頭條——台美雙市連袂走高、法人上調目標接力：🚀NYSE TSM 6/30 Tue續漲+3.02%(+$13.70)收$468.80、逼近52週高$476.79、市值約$2.15兆(P/E~33.5、前收$455.10)、7/1美股盤待今晚開盤;🚀台股2330 6/30官方收盤NT$2,455(+85、+3.59% vs 6/29 NT$2,370、開2,440/高2,475/低2,435、量15,514張、成交額380.9億、振幅1.69%)跳空跟進NYSE前波大漲、突破5MA/20MA、7/1台股盤中待TWSE。催化：📈Morgan Stanley上調目標並估2026營收+40% YoY;📈UBS上調目標並上修長期銷售成長;⭐漲價定價力擴及全先進製程(佔晶圓營收~74%、幅度5-10%、估全年毛利率+2pp以上);⭐TSMC-Amkor美國封裝長約降地緣風險。📊分析師共識目標升至平均$476.24、最高$625、最低$351。📊台美ADR溢價(以6/30 ADR$468.80+台股6/30 NT$2,455、匯率31.05計、理論值$395.33)走闊至+18.59%、台股7/1具補漲空間。🛠️晶片設備股領軍反彈：AMAT +10.8%、LRCX +8.4%、SOXX +4.1%(AI記憶體需求勁揚);Gartner估2026半導體營收超$1.3兆。⚠️漲價雙面刃——客戶(Nvidia/AMD/Apple/Qualcomm/Broadcom/MediaTek)成本升、Benzinga指NVIDIA因AI需求剛性+轉嫁能力強長期反為利多。⚠️近期營收疑慮續存——TSMC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YoY低於華爾街~35%預期、6月營收(7月上旬)為關鍵catalyst;5月營收NT$4,169.75億(+30.1%)創單月新高、1-5月累計NT$1.96兆。⚠️ITC專利調查初判預計近期(6月底/7月初)出爐、為短線關鍵雜訊。⚠️監理雜訊——Super Micro遭台灣搜索(涉NVIDIA晶片走私中國)股價-8%;南韓公布逾$1兆美元AI/晶片投資、三星+SK 800兆韓元。⭐中長線基底未變：TSMC-Amkor 10年美國先進封裝長約(Peoria AZ$70億、2028投產)+Winbond特殊DRAM自主供應+NVIDIA確認第1大客戶(22%/$33B)/A16首發2027量產+NVIDIA-TSMC深化AI製程合作+2nm量產70-80%良率領先全球+2nm/A16產能2026-28估CAGR~70%+4大美國CSP 2026 AI CapEx合計$725B。⚠️風險續追蹤：(1)TSMC遭美ITC專利調查(Longitude/Marlin控訴)、近期預計初判、恐對含AI加速器技術晶片發布美國進口禁令;(2)Apple與Intel合作在美生產晶片、Intel 18A-P風險量產+UMC結盟、Google/AMD/Tesla接觸Samsung。基本面：Q1 2026淨利NT$572.5B(+58.3% YoY)、毛利率66.2%雙創史高、2025全年EPS NT$66.25。分析師全面看多、MS/UBS等上調目標(共識平均$476.24、最高$625)。⚠️估值警示TSM P/E~33.5x、台股P/E~36.2x；下方支撐NT$2,400/NT$2,370、上方壓力NT$2,490/NT$2,535史高。下一里程碑：ITC初判近期、6月營收7月上旬(關鍵)、Q2法說會7/16。</t>
        </is>
      </c>
      <c r="G78" s="53" t="inlineStr">
        <is>
          <t>Yahoo Finance / Bloomberg</t>
        </is>
      </c>
    </row>
    <row r="79">
      <c r="A79" s="50" t="inlineStr">
        <is>
          <t>2026-07-02</t>
        </is>
      </c>
      <c r="B79" s="50" t="inlineStr">
        <is>
          <t>NT$2,465</t>
        </is>
      </c>
      <c r="C79" s="57" t="inlineStr">
        <is>
          <t>-1.60%</t>
        </is>
      </c>
      <c r="D79" s="50" t="inlineStr">
        <is>
          <t>US$444.23</t>
        </is>
      </c>
      <c r="E79" s="50" t="inlineStr">
        <is>
          <t>35,000</t>
        </is>
      </c>
      <c r="F79" s="52" t="inlineStr">
        <is>
          <t>報告日2026-07-02(Thu)；⚠️今日頭條——前報預測之台股補跌兌現、惟相對抗跌：📉台股2330 7/2 Thu官方收盤NT$2,465(-40、-1.60% vs 7/1 NT$2,505、量約35,000張)跟進NYSE 7/1夜盤重挫-6.98%跳空低開補跌、終結連3漲——⭐惟跌幅(-1.60%)遠小於美股(-6.98%)、守穩NT$2,450心理整數支撐、盤中未破NT$2,420、相對抗跌、補跌壓力大致釋放。📉NYSE TSM 7/1 Wed收$444.23(-6.98%、-$33.34)自6/30史新高$477.57大幅回落、市值約$2.30兆(P/E~38.6)為7/2台股報告時最新確認收盤、盤後回升+$3.35至約$447.58顯示殺盤趨緩、7/2美股盤待今晚開盤。NYSE重挫催化：技術面過熱獲利了結(費半SOX Q2 +87.8%創1994年以來最強單季後拉回)、估值修正、4-5月營收+24% YoY落後華爾街~35%預期、智慧型手機/PC下游需求疲弱、7/16財報前觀望。🚀重大利多：Nomura(野村)7/1大幅上調TSM目標價自NT$2,820至NT$3,425(自7/2收NT$2,465具+38.9%上行空間)、指AI基礎設施投資循環尚未見頂、估2027資料中心新增產能達~32GW。📊台美ADR溢價(以7/1 ADR$444.23+台股7/2 NT$2,465、匯率31.05計、理論值$396.94)自+10.13%微升至+11.91%、台股相對抗跌。📊分析師共識仍全面偏多——17位Strong Buy、0賣出、12個月平均目標$487.56(自7/1收$444.23具+9.8%上行空間)、拉回視為估值修正非基本面惡化。⭐漲價題材續發酵——TSMC通知客戶全先進製程調漲5-10%(擴及N7/N5/N3及成熟製程、佔晶圓營收~74%)、估全年毛利率+2pp以上;客戶(Nvidia/AMD/Apple/Qualcomm/Broadcom/MediaTek)成本升、Benzinga指NVIDIA因AI需求剛性+轉嫁能力強長期反為利多。🏆NVIDIA Vera Rubin AI平台6顆晶片全數TSMC代工、包下多數CoWoS產能;確認超越Apple成TSMC最大客戶(22%/$33B)、A16首發2026下半/2027量產;Apple跳過A16直上A14。🇺🇸台灣半導體供應鏈加速赴美設廠、Arizona首廠已量產、第二廠2026下半移機、第三廠興建中。⚠️南韓公布逾$1兆美元AI/晶片投資、三星+SK 800兆韓元(約$5,180億)各建兩座新廠、中長期強化韓系競爭。⭐中長線基底未變：TSMC-Amkor 10年美國先進封裝長約(Peoria AZ$70億、2028投產)+Winbond特殊DRAM自主供應+NVIDIA第1大客戶/A16首發+2nm量產70-80%良率領先全球+2nm/A16產能2026-28估CAGR~70%+4大美國CSP 2026 AI CapEx合計$725B。基本面：Q1 2026淨利NT$572.5B(+58.3% YoY)、毛利率66.2%雙創史高、2025全年EPS NT$66.25。⚠️估值警示TSM P/E~38.6x、台股P/E~36.3x；下方支撐NT$2,450/NT$2,410、上方壓力NT$2,505/NT$2,535史高。下一里程碑：6月營收7月上旬(關鍵catalyst)、Q2法說會7/16。</t>
        </is>
      </c>
      <c r="G79" s="50" t="inlineStr">
        <is>
          <t>Yahoo Finance / Bloomberg</t>
        </is>
      </c>
    </row>
    <row r="80">
      <c r="A80" s="53" t="inlineStr">
        <is>
          <t>2026-07-03</t>
        </is>
      </c>
      <c r="B80" s="53" t="inlineStr">
        <is>
          <t>NT$2,425（7/3盤中09:12）</t>
        </is>
      </c>
      <c r="C80" s="56" t="inlineStr">
        <is>
          <t>-1.62%（7/3盤中）</t>
        </is>
      </c>
      <c r="D80" s="53" t="inlineStr">
        <is>
          <t>US$434.16</t>
        </is>
      </c>
      <c r="E80" s="53" t="inlineStr">
        <is>
          <t>8,748（7/3盤中）</t>
        </is>
      </c>
      <c r="F80" s="55" t="inlineStr">
        <is>
          <t>報告日2026-07-03(Fri)。台股補跌延續、跌破NT$2,450支撐＋分析師逆勢續挺：📉台股2330 7/3開盤跳空低開NT$2,415、09:12報NT$2,425(-1.62%)、跌破NT$2,450心理整數支撐、跟進NYSE續跌承壓、測試NT$2,410；官方收盤待TWSE。📉NYSE TSM 7/2 Thu收$434.16(-2.27%、-$10.07)自6/30史高$477.57連二日回落，惟跌幅自7/1 -6.98%大幅收斂、殺盤趨緩、屬估值修正非基本面惡化；NYSE 7/3因美國國慶休市。🚀Nomura上調目標至NT$3,425(+38.9%空間)、Barclays亦上調；平均目標$476.24(自$434.16具+9.7%空間)、拉回視為估值修正；⚠️惟Goldman 7/1移出APAC Conviction List(戰術調整非降評)。🤝NVIDIA-TSMC導入AI入廠提升良率；BofA上修2026全球半導體市場至$1.3兆(原$1.0兆)、2030上看$2兆。⭐漲價續發酵、全先進製程調漲5-10%(佔晶圓營收~74%)、估全年毛利率+2pp以上。中長線基底未變：NVIDIA #1客戶(22%/$33B)/A16首發、Vera Rubin 6顆晶片全TSMC代工(3nm+HBM4)、2nm 70-80%良率、費半Q2 +87.8%史上最強單季。⚠️估值警示TSM P/E~37.7x、台股~35.7x；6月營收(7月上旬)與7/16財報為關鍵catalyst；下方支撐NT$2,410/NT$2,370、上方壓力NT$2,505/NT$2,535史高。</t>
        </is>
      </c>
      <c r="G80" s="53" t="inlineStr">
        <is>
          <t>Yahoo Finance / Bloomberg</t>
        </is>
      </c>
    </row>
    <row r="81">
      <c r="A81" s="50" t="inlineStr">
        <is>
          <t>2026-07-06</t>
        </is>
      </c>
      <c r="B81" s="50" t="inlineStr">
        <is>
          <t>NT$2,445（7/3收）</t>
        </is>
      </c>
      <c r="C81" s="57" t="inlineStr">
        <is>
          <t>-0.81%（7/3收）</t>
        </is>
      </c>
      <c r="D81" s="50" t="inlineStr">
        <is>
          <t>US$434.16（7/2收）</t>
        </is>
      </c>
      <c r="E81" s="50" t="inlineStr">
        <is>
          <t>26,455（7/3收）</t>
        </is>
      </c>
      <c r="F81" s="52" t="inlineStr">
        <is>
          <t>報告日2026-07-06(Mon)。修正收斂、分析師大幅續挺：⚖️台股2330 7/3官方收NT$2,445(-20、-0.81%、量26,455張)跌幅較7/2之-1.60%收斂、守穩NT$2,410；NYSE TSM 7/2續跌-2.27%收$434.16(前收7/1 $444.23)為連二跌(7/1 -6.98%、7/2 -2.27%)但跌幅大幅收斂、殺盤動能衰竭、屬估值修正非基本面惡化；NYSE 7/3因美國國慶休市、7/6重新開盤。【重要更正】前一份7/6報告曾誤將7/2「更正」為+0.13%收$434.71，經stockanalysis.com官方收盤複核為誤、正確為-2.27%收$434.16。🚀Barclays將TSM目標價自$470大幅上調至$625(+43.9%空間)、Nomura NT$3,425(+40.1%空間)；平均目標~$490強力買入；⚠️惟Goldman 7/1移出APAC Conviction List(戰術調整非降評)。🤝NVIDIA-SK海力士宣布多年期記憶體合作(AI工廠次世代記憶體)；NVIDIA-TSMC導入AI入廠提升良率；BofA上修2026全球半導體市場至$1.3兆、生成式AI晶片估~$500B、費半YTD+47%。⭐漲價續發酵、7nm以下全先進製程調漲5-10%(佔晶圓營收~75%)、估全年毛利率+2pp以上。中長線基底未變：NVIDIA #1客戶(22%/$33B)/A16首發、Vera Rubin 6顆晶片全TSMC代工(3nm+HBM4)、2nm 70-80%良率。⚠️估值警示TSM P/E~37.8x、台股~36.0x；6月營收(7月上旬)與7/16財報為關鍵catalyst；ADR溢價約+10.3%；下方支撐NT$2,410/NT$2,370、上方壓力NT$2,465/NT$2,505/NT$2,535史高。</t>
        </is>
      </c>
      <c r="G81" s="50" t="inlineStr">
        <is>
          <t>Yahoo Finance / Bloomberg</t>
        </is>
      </c>
    </row>
    <row r="82">
      <c r="A82" s="53" t="inlineStr">
        <is>
          <t>2026-07-07</t>
        </is>
      </c>
      <c r="B82" s="53" t="inlineStr">
        <is>
          <t>NT$2,490（7/7收）</t>
        </is>
      </c>
      <c r="C82" s="54" t="inlineStr">
        <is>
          <t>+1.22%（7/7收）</t>
        </is>
      </c>
      <c r="D82" s="53" t="inlineStr">
        <is>
          <t>US$451.79（7/6收）</t>
        </is>
      </c>
      <c r="E82" s="53" t="inlineStr">
        <is>
          <t>24,800（7/7收，估）</t>
        </is>
      </c>
      <c r="F82" s="55" t="inlineStr">
        <is>
          <t>報告日2026-07-07(Tue)。台股補漲兌現、Citi大幅上調目標至NT$3,800：🚀Citi(花旗)7/6大幅上調TSMC台股目標價自NT$2,875至NT$3,800(+32%、維持買入、自7/7收NT$2,490具+52.6%空間)、為7/16法說會前最新升評、料上修2026營收成長與2027-28資本支出至$75-80B；⚖️台股2330 7/7收NT$2,490(+30、+1.22%、量估約24,800張、盤中高觸NT$2,505逼近NT$2,535史高)連二漲、補漲兌現、跟進NYSE 7/6大反彈+Citi升評雙催化；🚀NYSE TSM 7/6假期後重新開盤即大漲+4.06%(+$17.63)收$451.79(前收7/2 $434.16)、費半SOX同步+3.92%、一舉收復7/1(-6.98%)+7/2(-2.27%)兩日全數跌幅、AI半導體回神、確認為估值修正非基本面惡化；📊台美ADR溢價收斂至約+16.2%(7/6 ADR $451.79折合台股NT$2,893.71 vs 台股7/7 NT$2,490)。🚀分析師續大幅看多：Citi NT$3,800、Barclays維持$625(自$451.79具+38.3%空間)、Nomura NT$3,425(自NT$2,490具+37.6%空間)；⚠️惟Goldman 7/1移出APAC Conviction List(戰術調整非降評)。🤝NVIDIA-SK海力士宣布多年期記憶體合作；NVIDIA-TSMC導入AI入廠提升良率；BofA上修2026全球半導體市場至$1.3兆。⭐漲價續發酵、7nm以下全先進製程調漲5-10%(佔晶圓營收~75%)。中長線基底未變：NVIDIA #1客戶(22%/$33B)/A16首發、Vera Rubin 6顆晶片全TSMC代工、2nm 70-80%良率。⚠️估值警示TSM P/E~39.3x、台股~36.6x；6月營收(7月上旬)與7/16財報為關鍵catalyst；下方支撐NT$2,460/NT$2,445、上方壓力NT$2,505/NT$2,535史高。</t>
        </is>
      </c>
      <c r="G82" s="53" t="inlineStr">
        <is>
          <t>Yahoo Finance / Bloomberg</t>
        </is>
      </c>
    </row>
    <row r="83">
      <c r="A83" s="50" t="inlineStr">
        <is>
          <t>2026-07-08</t>
        </is>
      </c>
      <c r="B83" s="50" t="inlineStr">
        <is>
          <t>NT$2,490（7/7收）</t>
        </is>
      </c>
      <c r="C83" s="51" t="inlineStr">
        <is>
          <t>+1.22%（7/7收）</t>
        </is>
      </c>
      <c r="D83" s="50" t="inlineStr">
        <is>
          <t>US$432.57（7/7收）</t>
        </is>
      </c>
      <c r="E83" s="50" t="inlineStr">
        <is>
          <t>24,800（7/7收，估）</t>
        </is>
      </c>
      <c r="F83" s="52" t="inlineStr">
        <is>
          <t>報告日2026-07-08(Wed)。NYSE V型反彈後7/7回吐-4.25%、台股7/8恐承壓補跌：📉NYSE TSM 7/7收$432.57(-$19.22、-4.25%、前收7/6 $451.79、日內$428.11-$439.80、stockanalysis.com確認)回吐7/6假期後V型反彈(+4.06%)大部分漲幅、費半半導體同步回檔、為7/16 Q2財報前估值修正+獲利了結、AI晶片股全面回落並非基本面惡化；⚖️台股2330最新確認收盤仍為7/7 NT$2,490(+1.22%、連二漲、盤中高觸NT$2,505)、7/8盤中承壓補跌約NT$2,465(-1%)、料跟進NYSE回檔、關鍵守穩NT$2,460/NT$2,445/NT$2,410支撐；📊台美ADR溢價自7/6 +16.2%收斂至約+11.2%(7/7 ADR $432.57折合台股約NT$2,768 vs 台股7/7 NT$2,490)。🚀分析師仍大幅續挺:Citi NT$3,800(+32%、自NT$2,490具+52.6%空間)、Barclays維持$625(自$451.79具+38.3%空間)、Nomura NT$3,425(自NT$2,490具+37.6%空間)、共識強力買入;⚠️惟Goldman 7/1移出APAC Conviction List(戰術調整非降評)。🤝NVIDIA-SK海力士宣布多年期記憶體合作;NVIDIA-TSMC導入AI入廠提升良率;BofA上修2026全球半導體市場至$1.3兆(生成式AI晶片~$500B);Qualcomm推無HBM資料中心晶片。⭐漲價續發酵、7nm以下全先進製程調漲5-10%(佔晶圓營收~75%)、估全年毛利率+2pp以上。中長線基底未變:NVIDIA #1客戶(22%/$33B)/A16首發、Vera Rubin 6顆晶片全TSMC代工(3nm+HBM4)、2nm 70-80%良率、TSMC-Amkor美國封裝長約。⚠️估值警示TSM P/E~37.6x、台股~36.6x;4-5月營收+24% YoY落後~35%預期、6月營收(7月上旬)與7/16財報為關鍵catalyst;下方支撐NT$2,460/NT$2,445/NT$2,410、上方壓力NT$2,505/NT$2,535史高。</t>
        </is>
      </c>
      <c r="G83" s="50" t="inlineStr">
        <is>
          <t>Yahoo Finance / Bloomberg</t>
        </is>
      </c>
    </row>
    <row r="84">
      <c r="A84" s="53" t="inlineStr">
        <is>
          <t>2026-07-09</t>
        </is>
      </c>
      <c r="B84" s="53" t="inlineStr">
        <is>
          <t>NT$2,465（7/8收）</t>
        </is>
      </c>
      <c r="C84" s="54" t="inlineStr">
        <is>
          <t>+1.02%（7/8收）</t>
        </is>
      </c>
      <c r="D84" s="53" t="inlineStr">
        <is>
          <t>US$436.98（7/8收）</t>
        </is>
      </c>
      <c r="E84" s="53" t="inlineStr">
        <is>
          <t>25,519（7/8收）</t>
        </is>
      </c>
      <c r="F84" s="55" t="inlineStr">
        <is>
          <t>報告日2026-07-09(Thu)。✅台美7/8同步止跌反彈：台股2330官方收NT$2,465(+25、+1.02%、量25,519張、收在當日最高、站回5MA 2,455)；NYSE TSM收$436.98(+1.02%)自7/7 -4.25%回檔止穩、SOX +2.23%、NVDA +3.65%、AVGO +4.83% AI晶片股回神。⚠️【數據更正】經TWSE官方核實：7/7實收NT$2,440(-0.81%、盤中高2,500)非前報誤載之NT$2,490(+1.22%)；6/30官方收NT$2,410；7/7外資實為+83張(前報估+12,000有誤)——技術指標已重算(5MA 2,455/20MA 2,403)。📊三大法人7/8官方(T86)：外資-4,155張、投信+730、自營+468、合計-2,957張；7月外資累計約-2.9萬張、投信連5日買超。📊 ADR溢價+13.7%($436.98 vs理論$384.32、匯率32.07)。🚀分析師續挺：Citi NT$3,800(+54.2%)、Barclays $625(+43.0%)、Nomura NT$3,425(+38.9%)、共識強力買入；⚠️Goldman 7/1移出APAC Conviction List(戰術調整)。🎯催化倒數：6月營收7月上旬隨時公布(4-5月+24% YoY落後~35%預期、攸關Q2指引$39.0-40.2B達成)、7/16 Q2法說會倒數7天(Citi預期上修全年展望)。⭐中長線基底未變：NVIDIA #1客戶(22%/$33B)/A16首發、Vera Rubin 6顆晶片全TSMC代工、2nm 70-80%良率、TSMC-Amkor美國封裝長約、全先進製程漲價5-10%(毛利率+2pp)。⚠️風險：外資7月賣超未轉向、Intel 18A量產(微軟/高通進駐)、下游手機/PC需求疲弱、估值不低(台股P/E~32.7x TTM、TSM~37x)、台幣32.07。技術面：支撐NT$2,440/2,420/2,403、壓力NT$2,500-2,505/2,535史高。</t>
        </is>
      </c>
      <c r="G84" s="53" t="inlineStr">
        <is>
          <t>Yahoo Finance / Bloomberg</t>
        </is>
      </c>
    </row>
    <row r="85">
      <c r="A85" s="50" t="inlineStr">
        <is>
          <t>2026-07-13</t>
        </is>
      </c>
      <c r="B85" s="50" t="inlineStr">
        <is>
          <t>NT$2,415.5（7/9收）</t>
        </is>
      </c>
      <c r="C85" s="57" t="inlineStr">
        <is>
          <t>-2.03%（7/9收）</t>
        </is>
      </c>
      <c r="D85" s="50" t="inlineStr">
        <is>
          <t>US$434.11（7/10收）</t>
        </is>
      </c>
      <c r="E85" s="50" t="inlineStr">
        <is>
          <t>27,057（7/9收）</t>
        </is>
      </c>
      <c r="F85" s="52" t="inlineStr">
        <is>
          <t>報告日2026-07-13(Mon)。⭐⭐今日最重要：TSMC 6月營收今日13:30公布(原訂7/10、颱風順延)——法人估NT$4,000-4,400億、樂觀看逼近4,400億改寫單月新高，達標則Q2營收突破NT$1.2兆(對應指引$39.0-40.2B)；4-5月僅+24% YoY落後華爾街~35%預期、6月為Q2達標關鍵驗證、亦為7/16法說會前市場最大焦點。⚠️7/10 Fri中度颱風「巴威(Bavi)」侵台，證交所宣布台股(含期貨、外匯)全日休市；台股7/13復市。📉台股2330最新確認收盤7/9 Thu官方收NT$2,415.5(-50、-2.03%、開2,450/高2,460/低2,415、量27,057張、TWSE)失守5MA——主因外資單日大賣12,749張、提款約310億元、全集中市場連6日賣超(7/9賣471億)；投信買超43張(連7買)、自營買超90張、合計賣超12,615張。📊NYSE TSM台股休市期間續交易、相對抗跌：7/9收$436.96(持平)、7/10收$434.11(-0.65%)；NVDA 7/10收$210.96續強、AI晶片股維持多頭。📊台美ADR溢價升至+15.4%($434.11 vs理論$376.2、匯率~32.1)——溢價偏高部分因台股7/9起停格、NYSE續走。🚀分析師續挺：Citi NT$3,800(+57.3%)、Barclays $625(+44.0%)、Nomura NT$3,425(+41.8%)、共識強力買入；⚠️Goldman 7/1移出APAC Conviction List(戰術調整)；Motley Fool看好7/16財報後大漲。🎯催化倒數：6月營收今日13:30、7/16 Q2法說會倒數3天(Citi預期上修全年展望)。⭐中長線基底未變：NVIDIA #1客戶(22%/$33B)/A16首發、Vera Rubin 6顆晶片全TSMC代工、2nm 70-80%良率、TSMC-Amkor美國封裝長約、全先進製程漲價5-10%(毛利率+2pp)。⚠️風險：外資7月大幅賣超未轉向、6月營收若不如預期恐引賣壓、Intel 18A量產、下游手機/PC需求疲弱、估值不低(台股P/E~32.0x TTM、TSM~37x)、台幣~32.1。技術面：支撐NT$2,400/2,380/20MA~2,410、壓力NT$2,440/2,465/2,500-2,535史高。</t>
        </is>
      </c>
      <c r="G85" s="50" t="inlineStr">
        <is>
          <t>Yahoo Finance / Bloomberg</t>
        </is>
      </c>
    </row>
    <row r="86">
      <c r="A86" s="53" t="inlineStr">
        <is>
          <t>2026-07-14</t>
        </is>
      </c>
      <c r="B86" s="53" t="inlineStr">
        <is>
          <t>NT$2,440（7/13收）</t>
        </is>
      </c>
      <c r="C86" s="54" t="inlineStr">
        <is>
          <t>+1.04%（7/13收）</t>
        </is>
      </c>
      <c r="D86" s="53" t="inlineStr">
        <is>
          <t>US$421.58（7/13收）</t>
        </is>
      </c>
      <c r="E86" s="53" t="inlineStr">
        <is>
          <t>34,665（7/13收）</t>
        </is>
      </c>
      <c r="F86" s="55" t="inlineStr">
        <is>
          <t>報告日2026-07-14(Tue)。⭐⭐今日最重要：TSMC 6月營收7/13正式公布大幅達標創高——6月合併營收NT$4,426.80億(+67.9% YoY、+6.2% MoM)改寫單月歷史新高；1-6月(H1)累計NT$2.40兆(+35.6% YoY)；Q2累計約NT$1.27兆、達成美元指引$39.0-40.2B——AI/HPC需求動能獲確認、大幅緩解4-5月僅+24% YoY落後~35%預期的營收疑慮、為7/16法說會前重大利多。📈台股2330 7/13 Mon官方收NT$2,440(+25、+1.04% vs 7/9 NT$2,415.5、開2,460/高2,480/低2,440、量34,665張、額851.13億、TWSE)站回5MA——颱風休市後首個交易日、6月營收創高撐盤；⚡盤中一度大漲逾900點、尾盤獲利了結翻黑收僅+25、台積電為撐盤要角、顯示高檔換手。📉NYSE TSM 7/13收$421.58(-2.89% vs 7/10 $434.11、盤後$422.98)——法說會前美股半導體獲利了結、估值修正。📊三大法人7/13：外資賣超2,045張(連3賣、3日累計-16,464張)、投信買超530張、自營買超623張、合計賣超892張——外資賣壓大幅收斂、投信自營同步買超對沖。📊台美ADR溢價自7/10約+15.3%收斂至約+10.8%($421.58×32.07÷5=NT$2,704 vs台股2,440)。🚀分析師續挺：Citi NT$3,800(+55.7%)、Barclays $625(+48.3%)、Nomura NT$3,425(+40.4%)、共識強力買入；⚠️Goldman 7/1移出APAC Conviction List(戰術調整)。🎯催化倒數：7/16 Q2法說會週三14:00倒數2天(公布Q2財報+Q3展望、法人估Q2毛利率挑戰70%、Citi預期上修全年展望)。⭐中長線基底未變：NVIDIA #1客戶(22%/$33B)/A16首發、Vera Rubin 6顆晶片全TSMC代工、2nm 70-80%良率、TSMC-Amkor美國封裝長約、全先進製程漲價5-10%(毛利率+2pp)。⚠️風險：外資7月連3賣未轉向、法說會前NYSE續弱、Intel 18A量產、下游手機/PC需求疲弱、估值不低(台股P/E~32.3x TTM、TSM~36x)、台幣~32.1。技術面：站回5MA~2,424、支撐20MA~2,366/2,300、壓力2,480/2,500/2,535史高。</t>
        </is>
      </c>
      <c r="G86" s="53" t="inlineStr">
        <is>
          <t>Yahoo Finance / Bloomberg</t>
        </is>
      </c>
    </row>
    <row r="87">
      <c r="A87" s="50" t="inlineStr">
        <is>
          <t>2026-07-15</t>
        </is>
      </c>
      <c r="B87" s="50" t="inlineStr">
        <is>
          <t>NT$2,420（7/14收）</t>
        </is>
      </c>
      <c r="C87" s="57" t="inlineStr">
        <is>
          <t>-0.82%（7/14收）</t>
        </is>
      </c>
      <c r="D87" s="50" t="inlineStr">
        <is>
          <t>US$420.39（7/14收）</t>
        </is>
      </c>
      <c r="E87" s="50" t="inlineStr">
        <is>
          <t>42,857（7/14收）</t>
        </is>
      </c>
      <c r="F87" s="52" t="inlineStr">
        <is>
          <t>報告日2026-07-15(Wed)。⭐⭐7/16 Q2法說會倒數1天(週三14:00)：法人估Q2營收~$40B(+32% YoY)、獲利+50%+連5季創高、毛利率挑戰70%(指引65.5-67.5%)、關注上修全年財測(現行&gt;30%)；6月營收NT$4,426.80億(+67.9% YoY)已確認Q2約NT$1.27兆達標。📉台股2330 7/14收NT$2,420(-20、-0.82%、量42,857張TWSE口徑、額1,033.71億)——大盤重挫-642.57點(-1.42%)收44,737.95、相對抗跌惟失守5MA~2,436。📊三大法人7/14(T86)合計賣超8,005張：外資-12,416(連4賣、4日-31,365)、投信+1,841、自營+2,570。📉NYSE TSM 7/14收$420.39(-0.28%)法說會前觀望；⚡同日SOX +2.54%大反彈(NVDA +4.06%、MU +4.92%、AMKR +6.27%)、SK海力士7/15韓股盤中+11%，今日台股可望跟進。💰漲價題材：7nm以下全製程調漲5-10%、三星跟進4/5nm漲15%；CoWoS 2026產能12.5萬片/月遭NVIDIA/博通訂滿、缺口至2027。📊ADR溢價+11.7%($420.39 vs理論值$376.46、匯率32.14)。🚀分析師續挺：Citi NT$3,800(+57.0%)、Barclays $625(+48.7%)、Nomura NT$3,425(+41.5%)。⚠️風險：外資連4賣擴大、法說會前後劇烈波動、232關稅輸中晶片查驗收緊、Intel 18A、估值不低(P/E~32.1x)。技術面：MACD柱轉負、KDJ J=22近超賣；支撐2,390/2,366/2,336、壓力2,436/2,480/2,535史高。</t>
        </is>
      </c>
      <c r="G87" s="50" t="inlineStr">
        <is>
          <t>Yahoo Finance / Bloomberg</t>
        </is>
      </c>
    </row>
    <row r="88">
      <c r="A88" s="53" t="inlineStr">
        <is>
          <t>2026-07-16</t>
        </is>
      </c>
      <c r="B88" s="53" t="inlineStr">
        <is>
          <t>NT$2,440（7/15收）</t>
        </is>
      </c>
      <c r="C88" s="54" t="inlineStr">
        <is>
          <t>+0.83%（7/15收）</t>
        </is>
      </c>
      <c r="D88" s="53" t="inlineStr">
        <is>
          <t>US$419.48（7/15收）</t>
        </is>
      </c>
      <c r="E88" s="53" t="inlineStr">
        <is>
          <t>33,666（7/15收）</t>
        </is>
      </c>
      <c r="F88" s="55" t="inlineStr">
        <is>
          <t>報告日2026-07-16(Thu)。⭐⭐Q2法說會今日14:00登場：Q2初步營收約NT$1.27兆(~$39.2B、季度新高)已確認達成指引$39.0-40.2B；共識估營收~$40B(+33% YoY)、每ADR EPS $3.81-3.87(+55%+)、毛利率挑戰70%(指引65.5-67.5%)、獲利連5季創高；關注上修全年財測(現行&gt;30%)與2027-28資本支出；台股13:30收盤、效應主要今晚美股與7/17台股反映。📈台股2330 7/15收NT$2,440(+20、+0.83%、量33,666張、額822.14億)——大盤大漲+893.64點(+2.00%)收45,631.59、2330明顯落後屬觀望、惟站回5MA~2,436/20MA~2,430。📊三大法人7/15(T86)合計賣超3,568張：外資-3,427(連5賣、5日-34,792、惟較7/14 -12,416大幅收斂)、投信-596(終止連買)、自營+456。📉NYSE TSM 7/15收$419.48(-0.22%)相對抗跌；⚠️同日SOX -2.08%回檔、MU -8.02%(HBM獲利了結)、記憶體重挫延續至7/16韓股盤中(SK海力士-10%、三星-7.7%)；⭐ASML二度上修2026展望(+2.23%)、AAPL +4.01%、NVDA +0.33%。🚀法說會前分析師密集上調：美銀$490→$590(7/14)、Barclays $625(+49.0%)、Citi NT$3,800(+55.7%)、Nomura NT$3,425。📊ADR溢價收斂至+10.5%($419.48 vs理論值$379.47、匯率32.15)。⚠️風險：法說會後劇烈波動、外資連5賣、AI記憶體鏈急回吐、232關稅輸中晶片查驗、Intel 18A、估值不低(P/E~32.3x)。技術面：RSI 54.6回中軸上、MACD柱仍負-7.0、KDJ J=26自超賣回升；支撐2,415/2,390/2,342、壓力2,460/2,480/2,535史高。</t>
        </is>
      </c>
      <c r="G88" s="53" t="inlineStr">
        <is>
          <t>Yahoo Finance / Bloomberg</t>
        </is>
      </c>
    </row>
    <row r="89">
      <c r="A89" s="50" t="inlineStr">
        <is>
          <t>2026-07-17</t>
        </is>
      </c>
      <c r="B89" s="50" t="inlineStr">
        <is>
          <t>NT$2,470（7/16收）</t>
        </is>
      </c>
      <c r="C89" s="51" t="inlineStr">
        <is>
          <t>+1.23%（7/16收）</t>
        </is>
      </c>
      <c r="D89" s="50" t="inlineStr">
        <is>
          <t>US$409.74（7/16收）</t>
        </is>
      </c>
      <c r="E89" s="50" t="inlineStr">
        <is>
          <t>30,539（7/16收）</t>
        </is>
      </c>
      <c r="F89" s="52" t="inlineStr">
        <is>
          <t>報告日2026-07-17(Fri)。⭐⭐Q2法說會(7/16 14:00)大超預期：營收NT$1.270兆($40.20B、+33.7% YoY、+12.0% QoQ)觸及指引上緣；EPS NT$27.25($4.31/ADR、+77.4% YoY)超共識~$3.94約+9.4%、連11季超預期、連5季獲利創高；毛利率67.7%超指引上緣、營益率60.3%、淨利率55.6%；Q3指引$44.6-45.8B(中位+12.4% QoQ、遠超預期)、毛利率65-67%(2nm爬坡H2稀釋3-4pp)；全年營收成長自&gt;30%上修至「略高於40%」；CapEx自$52-56B上調至$60-64B；2026股利NT$24/股(+33%)；HPC占66%、2nm首度貢獻3%；管理層:「AI需求比先前預期更強」。⚠️惟美股不買單：NYSE TSM 7/16收$409.74(-2.32%)——SOX -4.29%收11,867.50全面重挫(AVGO -5.03%、AMD -5.33%、INTC -5.84%、MU -5.65%、NVDA -2.40%)，分析師點名重資本支出、H2毛利率稀釋、AI估值疑慮+美伊地緣緊張；記憶體鏈續崩(SK海力士-11.5%、三星-8.8%)；⭐AAPL +1.76%逆勢。📈台股2330 7/16收NT$2,470(+30、+1.23%、量30,539張、額747.50億)法說會前搶跑、大盤-0.01%下逆勢領漲——今日7/17開盤補反映「財報大利多vs美股重挫」多空對決、恐高波動。📊三大法人7/16(T86)合計賣超2,625張：外資-4,215(連6賣、近5交易日-34,852)、投信+528(轉買)、自營+1,061——內資先行卡位、外資能否翻買為最大觀察點。📊ADR溢價收斂至+7.0%($409.74 vs理論值$383.08、匯率32.24)。💡估值大幅消化：P/E降至~28.3x TTM(前~32.3x)、TSM ~30.0x。技術面：站上5MA~2,437/20MA~2,434、RSI 57.8、MACD柱收斂至-4.9、KDJ初步金叉；支撐2,420/2,415/2,349、壓力2,480/2,520/2,535史高。</t>
        </is>
      </c>
      <c r="G89" s="50" t="inlineStr">
        <is>
          <t>Yahoo Finance / Bloomberg</t>
        </is>
      </c>
    </row>
    <row r="90">
      <c r="A90" s="53" t="inlineStr">
        <is>
          <t>2026-07-20</t>
        </is>
      </c>
      <c r="B90" s="53" t="inlineStr">
        <is>
          <t>NT$2,290（7/17收）</t>
        </is>
      </c>
      <c r="C90" s="56" t="inlineStr">
        <is>
          <t>-7.29%（7/17收）</t>
        </is>
      </c>
      <c r="D90" s="53" t="inlineStr">
        <is>
          <t>US$398.37（7/17收）</t>
        </is>
      </c>
      <c r="E90" s="53" t="inlineStr">
        <is>
          <t>97,362（7/17收）</t>
        </is>
      </c>
      <c r="F90" s="55" t="inlineStr">
        <is>
          <t>報告日2026-07-20(Mon)。⚠️⚠️全球AI晶片股正式跌入熊市：SOX 7/17收-1.6%(盤中一度-5.7%)、自6/22史高回落-20.2%、單週-9%(3-6月曾自低點飆+105%)；催化：中國Moonshot發表號稱全球最大開源AI模型Kimi K3、Alphabet傳Gemini 3.5 Pro交付落後——AI投資報酬疑慮引爆全面獲利了結；MRVL/ARM/INTC自高點已-30%+。📉台股同步史詩級崩跌：2330 7/17官方收NT$2,290(-180、-7.29%、收盤即當日最低、量爆增97,362張、額2,290億、前日3.2倍)；三大法人7/17合計賣超逾2,631.5億元創台股史上單日最大、外資提款台積電破千億——2330遭外資賣超44,184張(連7賣、買17,479/賣61,663)；惟投信+1,489(連2買)、自營+2,759(連7買)逆勢承接、合計賣超39,936張。📊台美ADR溢價逆勢擴大至+12.0%($398.37 vs理論值$355.6、匯率~32.2)——台股-7.29%超跌於ADR-2.77%、隱含7/20週一具技術性反彈空間。✅關鍵：本波為AI估值/情緒修正、非基本面惡化——Q2法說會(7/16)大超預期完全未變：營收$40.20B(+33.7% YoY)、EPS$4.31/ADR(+77.4%、連11季超預期)、毛利率67.7%；全年成長上修&gt;40%、CapEx上調$60-64B(含Arizona追加$100B)、股利+33%；管理層:「AI需求比預期更強」——股價與基本面短線脫鉤。💡估值大幅消化：台股P/E降至~26.2x TTM、TSM~29.2x。技術面：跌破5MA~2,412/20MA~2,428、回測60MA~2,324、RSI(14)41.0、MACD綠柱擴大至-15.2(DIF 17.4&lt;DEA 32.5)、KDJ K35.7/D46.2/J14.7死叉墜超賣；支撐2,290/2,200/2,094、壓力2,322-2,324(布林下軌/60MA)/2,412/2,470。⚠️風險：AI情緒面能否止穩、外資連7史詩級賣超能否止穩為兩大變數；美232關稅25%+輸中晶片轉運查驗、Intel 18A競爭。</t>
        </is>
      </c>
      <c r="G90" s="53" t="inlineStr">
        <is>
          <t>Yahoo Finance / Bloomberg</t>
        </is>
      </c>
    </row>
    <row r="91">
      <c r="A91" s="50" t="inlineStr">
        <is>
          <t>2026-07-21</t>
        </is>
      </c>
      <c r="B91" s="50" t="inlineStr">
        <is>
          <t>NT$2,320（7/20收）</t>
        </is>
      </c>
      <c r="C91" s="51" t="inlineStr">
        <is>
          <t>+1.31%（7/20收）</t>
        </is>
      </c>
      <c r="D91" s="50" t="inlineStr">
        <is>
          <t>US$402.30（7/20收）</t>
        </is>
      </c>
      <c r="E91" s="50" t="inlineStr">
        <is>
          <t>55,790（7/20收）</t>
        </is>
      </c>
      <c r="F91" s="52" t="inlineStr">
        <is>
          <t>報告日2026-07-21(Tue)。✅崩跌後首日止穩：台股2330 7/20官方收NT$2,320(+30、+1.31%、開2,300/高2,345/低2,300、量縮55,790張=前日57%、額1,298.16億、TWSE確認)——大盤續跌-221.57點(-0.52%)收42,449.70(盤中震盪逾1,100點、融資減碼、聯電連2跌停、日月光-2.77%)下逆勢撐盤、貢獻約244點。📊籌碼大幅改善：三大法人7/20對2330轉買超+4,002張(T86官方)——外資-1,672張(連8賣、惟自7/17 -44,184收斂96%)、投信+1,049(連3買)、自營+4,626(連8買)；全市場三大法人轉買超21.7億(BFI82U、vs 7/17賣超2,631.5億史上最大)。✅NYSE TSM 7/20收$402.30(+0.99%)收復$400；SOX +0.60%收11,743.85止跌(自6/22史高仍-19.8%、熊市邊緣)——惟設備股續跌(LRCX-2.09%、KLAC-2.42%)、AAPL-2.14%、板塊分歧。🚀法說會後外資密集調升目標價：Susquehanna $600、Barclays $650、BofA $590——S&amp;P Global統計19位平均$520.37、共識強力買進。⚠️Yardeni警告SOXX熊市恐再跌12%、AI情緒未確認止穩；韓股補跌(SK海力士7/20 -4.2%、三星-4.3%)後7/21早盤回穩。📊ADR溢價維持+12.0%(匯率~32.3)。技術面(官方收盤計算)：收2,320站回布林下軌2,307、仍壓在60MA 2,328之下；RSI 43.9回升、MACD綠柱-19.2慣性擴大、KDJ J5.0深超賣；支撐2,300-2,307/2,290/2,200、壓力2,328(60MA)/2,388(5MA)/2,424(20MA)——止穩待確認、站回60MA為反彈續航訊號。</t>
        </is>
      </c>
      <c r="G91" s="50" t="inlineStr">
        <is>
          <t>Yahoo Finance / Bloomberg</t>
        </is>
      </c>
    </row>
    <row r="92">
      <c r="A92" s="53" t="inlineStr">
        <is>
          <t>2026-07-22</t>
        </is>
      </c>
      <c r="B92" s="53" t="inlineStr">
        <is>
          <t>NT$2,410（7/21收）</t>
        </is>
      </c>
      <c r="C92" s="54" t="inlineStr">
        <is>
          <t>+3.88%（7/21收）</t>
        </is>
      </c>
      <c r="D92" s="53" t="inlineStr">
        <is>
          <t>US$424.61（7/21收）</t>
        </is>
      </c>
      <c r="E92" s="53" t="inlineStr">
        <is>
          <t>31,606（7/21收）</t>
        </is>
      </c>
      <c r="F92" s="55" t="inlineStr">
        <is>
          <t>報告日2026-07-22(Wed)。🚀漲價題材引爆反彈第二日：台股2330 7/21官方收NT$2,410(+90、+3.88%、開2,350/高2,410/低2,345、收在當日最高、量31,606張、額754.30億、TWSE確認)站回5MA 2,386/60MA 2,334——大盤同日飆+1,783.17點(+4.20%)收44,232.87創史上最大單日漲點、收復7/17崩跌六成(台積電領軍、聯發科+9.88%、日月光+6.03%)。💰頭條：日經亞洲報導TSMC已通知客戶2027年初起先進+成熟製程全面漲價5-10%、HPC超額追加訂單另加價10-15%(Apple/NVIDIA/AMD/Qualcomm均適用)——定價權最強證據。📊籌碼最強訊號兌現：外資7/21對2330終結連8賣、正式轉買+4,976張(T86官方)、投信+974(連4買)、自營+214(連9買)、三大法人+6,163張連2日買超；全市場三大法人買超162.9億(BFI82U：投信+171.1億、外資仍小賣-43.3億)。✅NYSE TSM 7/21大漲+5.55%收$424.61、SOX +5.21%收12,356.16脫離熊市線(自史高-15.6%)；SOXX/SOXL單日吸金逾$21億；MU+12.2%、INTC+8.6%、AMD+8.1%、設備股全面大漲；韓股SK+4.08%/三星+6.15%、7/22早盤續強。📊ADR溢價擴大至+13.9%(匯率32.33)、台股7/22具補漲題材。⚠️保留：量縮反彈(僅前日57%)、續攻需量能放大。技術面(官方收盤計算)：RSI 51.5站回中軸、MACD綠柱收斂-15.2、KDJ K40.1/D40.2金叉臨界(J 5.0→39.8)；支撐2,386(5MA)/2,345/2,334(60MA)/2,320、壓力2,419-2,424(20MA)/2,470/2,528-2,535——站穩20MA為反彈第二道確認。</t>
        </is>
      </c>
      <c r="G92" s="53" t="inlineStr">
        <is>
          <t>Yahoo Finance / Bloomberg</t>
        </is>
      </c>
    </row>
    <row r="93">
      <c r="A93" s="50" t="inlineStr">
        <is>
          <t>2026-07-23</t>
        </is>
      </c>
      <c r="B93" s="50" t="inlineStr">
        <is>
          <t>NT$2,400（7/22收）</t>
        </is>
      </c>
      <c r="C93" s="57" t="inlineStr">
        <is>
          <t>-0.41%（7/22收）</t>
        </is>
      </c>
      <c r="D93" s="50" t="inlineStr">
        <is>
          <t>US$421.21（7/22收）</t>
        </is>
      </c>
      <c r="E93" s="50" t="inlineStr">
        <is>
          <t>31,653（7/22收）</t>
        </is>
      </c>
      <c r="F93" s="52" t="inlineStr">
        <is>
          <t>報告日2026-07-23(Thu)。📊反彈第三日轉高檔震盪：台股2330 7/22官方收NT$2,400(-10、-0.41%、開2,440/高2,445/低2,385、量31,653張、額762.06億、136,194筆、TWSE確認)——跳空開高一度站上20MA 2,414、獲利了結賣壓壓回尾盤翻黑、高低震盪60點；惟低點守住5MA 2,378屬強勢整理。⭐大盤同日續漲+592.91點(+1.34%)收44,825.78、兩日收復7/17崩跌逾七成——惟中小型股領漲(櫃買+3.46%)、2330落後大盤。💰頭條：CFO黃仁昭定調2nm已於Q2貢獻營收、Q3起放大成最新成長引擎——與2027漲價傳聞形成量價齊揚敘事。📊籌碼兩層分化：外資對2330回賣-3,539張(T86官方、7/21轉買僅一日)、投信+1,562(連5買擴大)、自營-1,059(終結連9買)、三大合計-3,036張；⭐全市場BFI82U：三大法人買超338.5億——外資+173.4億正式終結連13賣、投信+189.0億。✅NYSE TSM 7/22縮量整理收$421.21(-0.80%)、SOX +0.44%收12,410.67連2紅(自史高-15.2%)——客戶強(NVDA+2.30%/AVGO+2.67%)設備弱(AMAT-1.88%/MU-1.17%)換手分化。🚀台股供應鏈補漲：華邦電漲停+9.97%、聯發科+4.90%收3,850、日月光+3.63%；韓股7/23早盤SK+4.9%/三星+3.6%續強。📊ADR溢價+13.6%(匯率~32.35)。技術面(官方收盤計算)：⭐KDJ低檔金叉正式兌現(K49.4上穿D44.8、J58.7)、RSI 50.7持穩中軸、MACD綠柱三日連續收斂-12.8；支撐2,385/2,378(5MA)/2,345/2,337(60MA)、壓力2,414(20MA)/2,440-2,445/2,470/2,519-2,535——站回20MA與放量4萬張為續航雙確認。⚠️保留：量能連2日僅3.2萬張、外資買賣反覆、分析師籲獲利了結。</t>
        </is>
      </c>
      <c r="G93" s="50" t="inlineStr">
        <is>
          <t>Yahoo Finance / Bloomberg</t>
        </is>
      </c>
    </row>
    <row r="94">
      <c r="A94" s="53" t="inlineStr">
        <is>
          <t>2026-07-24</t>
        </is>
      </c>
      <c r="B94" s="53" t="inlineStr">
        <is>
          <t>NT$2,405（7/23收）</t>
        </is>
      </c>
      <c r="C94" s="54" t="inlineStr">
        <is>
          <t>+0.21%（7/23收）</t>
        </is>
      </c>
      <c r="D94" s="53" t="inlineStr">
        <is>
          <t>US$415.58（7/23收）</t>
        </is>
      </c>
      <c r="E94" s="53" t="inlineStr">
        <is>
          <t>28,001（7/23收）</t>
        </is>
      </c>
      <c r="F94" s="55" t="inlineStr">
        <is>
          <t>報告日2026-07-24(Fri)。📊反彈第四日量縮整理、尾盤拉升守穩：台股2330 7/23官方收NT$2,405(+5、+0.21%、開2,385/高2,405/低2,370、量28,001張、額668.34億、142,112筆、TWSE確認)——平低開後盤中低2,370一度跌破前日5MA、尾盤買盤進場拉升收在當日最高；連2日收斂於2,400-2,405窄幅、賣壓遞減但攻擊量能同樣缺席。⭐大盤同日尾盤翻紅+25.03點(+0.06%)收44,850.81連3紅——成交額縮至9,306億(前日1.026兆)、2330尾盤拉升為指數翻紅主力、反彈自普漲進入輪動整理期。📊籌碼兩層分化延續：外資對2330連2賣且擴大-4,614張(前日-3,539、T86官方)、投信-943終結連5買、自營+38、三大合計-5,519張；⭐惟全市場BFI82U：三大法人買超185.2億——外資+69.6億連2買、投信+73.7億、自營+41.9億——資金留在台股、只是不在權值。⚠️NYSE TSM 7/23收$415.58(-1.34%)、SOX -0.54%收12,343.84終結連2紅(自史高-15.7%)——板塊再換手：記憶體/設備強(MU+3.20%/KLAC+1.88%/AMAT+1.60%)vs客戶端回吐(NVDA-1.56%/AMD-2.29%/AAPL-1.30%)。⚠️韓股7/23大漲(SK海力士+4.86%/三星+3.65%)後7/24早盤雙雙重挫(SK-5.1%/三星-4.3%)——今日台股半導體開盤逆風；VIX+12.4%回升18.70、WTI急漲~$92。📊ADR溢價自+13.6%收斂至+11.6%(匯率~32.30)。技術面(官方收盤計算)：KDJ金叉後開口擴大(K54.2/D47.9/J66.8)、RSI 51.1中軸上續升、MACD綠柱四日連續收斂-10.5；支撐2,370(7/23低)/2,365(5MA)/2,345/2,340(60MA)、壓力2,415(20MA)/2,440-2,445/2,470/2,519-2,535——站上20MA(距僅10點)與放量4萬張為續航雙確認。⚠️保留：量能連3日2.8-3.2萬張未放大、外資對2330連2賣、韓股7/24早盤重挫。</t>
        </is>
      </c>
      <c r="G94" s="53" t="inlineStr">
        <is>
          <t>Yahoo Finance / Bloomberg</t>
        </is>
      </c>
    </row>
    <row r="95">
      <c r="A95" s="50" t="inlineStr">
        <is>
          <t>2026-07-28</t>
        </is>
      </c>
      <c r="B95" s="50" t="inlineStr">
        <is>
          <t>NT$2,350（7/27收）</t>
        </is>
      </c>
      <c r="C95" s="61" t="inlineStr">
        <is>
          <t>0.00%（7/27收）</t>
        </is>
      </c>
      <c r="D95" s="50" t="inlineStr">
        <is>
          <t>US$399.09（7/27收）</t>
        </is>
      </c>
      <c r="E95" s="50" t="inlineStr">
        <is>
          <t>28,939（7/27收）</t>
        </is>
      </c>
      <c r="F95" s="52" t="inlineStr">
        <is>
          <t>報告日2026-07-28(Tue)。📊個股抗跌vs外部熊市共振：台股2330 7/27官方收NT$2,350(0、0.00%、開2,330/高2,365/低2,330、量28,939張、額678.85億、92,753筆、TWSE確認)——低開-20後盤中翻紅高2,365、尾盤收平盤、守住60MA 2,345；成交筆數自195,859驟降至92,753、恐慌小單退潮。✅大盤同日僅小跌-20.65點(-0.05%)收43,634.19——週五恐慌未蔓延。✅籌碼明顯改善：外資對2330賣超自-9,637大幅收斂至-2,662張(連4賣但減速逾七成、T86官方)、投信+567連2買、自營+1,410連3買、三大合計僅-685張；全市場BFI82U由賣轉買：三大法人買超6.6億——外資+80.4億轉買、投信+4.8億。⚠️美股7/27 AI高Beta續挫：TSM -1.07%收$399.09失守$400(相對抗跌)、SOX -2.23%收11,554.88自史高-21.0%正式跌入熊市——NVDA -5.00%失守$200、AMD -5.17%、ASML -5.79%；惟AAPL +1.17%連2漲、AVGO/QCOM/ARM翻紅——市場評論指屬槓桿部位強制賣出、跌勢集中AI權值。⚠️韓股7/28早盤重挫：SK海力士財報日開盤急殺逾-10%、三星-8.9%(盤中)——SK Q2市場預期營益率75-77%創紀錄仍遭拋售、「財報優仍被賣」極端化、今日台股開盤最大逆風。⭐油價續回落WTI~$82/布蘭特~$88、VIX 18.67持平、10Y美債4.64%。📊ADR溢價連3日收斂至+9.7%(匯率~32.31)。技術面(官方收盤計算)：RSI 46.4持平中軸下、MACD綠柱-12.7且DIF -0.8跌破零軸(中期動能第一道裂痕)、KDJ死叉延續(K41.1/D43.7/J35.9)；支撐2,345(60MA)/2,330(7/27低)/2,320/2,307(布林下軌)、壓力2,383(5MA)/2,400-2,405/2,414(20MA)/2,440-2,445。⭐觀察：韓股重挫外溢下守60MA、外資賣壓收斂能否延續、SK財報電話會HBM定調、MSFT/META(7/29)AAPL/AMZN(7/30)財報。</t>
        </is>
      </c>
      <c r="G95" s="50" t="inlineStr">
        <is>
          <t>Yahoo Finance / Bloomberg</t>
        </is>
      </c>
    </row>
    <row r="96">
      <c r="A96" s="53" t="inlineStr">
        <is>
          <t>2026-07-29</t>
        </is>
      </c>
      <c r="B96" s="53" t="inlineStr">
        <is>
          <t>NT$2,280（7/28收）</t>
        </is>
      </c>
      <c r="C96" s="56" t="inlineStr">
        <is>
          <t>-2.98%（7/28收）</t>
        </is>
      </c>
      <c r="D96" s="53" t="inlineStr">
        <is>
          <t>US$392.31（7/28收）</t>
        </is>
      </c>
      <c r="E96" s="53" t="inlineStr">
        <is>
          <t>45,333（7/28收）</t>
        </is>
      </c>
      <c r="F96" s="55" t="inlineStr">
        <is>
          <t>報告日2026-07-29(Wed)。⚠️韓股熔斷引爆亞股股災：KOSPI 7/28收盤-10.8%（盤中破-8%觸發第一階段熔斷、全市停止交易20分鐘、今年第8次）——三星-13.39%、SK海力士-14.65%——三大導火線：①中國CXMT長鑫存儲7/27科創板掛牌暴漲+465.8%、市值躍居A股之冠（亞洲今年最大IPO）；②路透獨家：中國開始量產自製浸潤式DUV曝光機、今年約5台交付SMIC/華虹/CXMT；③NVDA循環融資(round-tripping)疑慮；再疊加融資追繳與強制賣出。⚠️台股7/28史上第3大跌點：大盤-2,030.83點(-4.65%)收41,603.36、電子-5.11%；2330官方收NT$2,280(-70、-2.98%、開2,270/高2,305/低2,270、量45,333張、額1,036.24億、463,044筆、TWSE確認)——跌幅小於大盤與供應鏈（聯發科-9.92%、日月光-8.88%、聯電-9.92%、華邦電跌停）、相對抗跌，惟60MA 2,347季線、7/17低2,290、布林下軌2,289全數失守。⚠️籌碼再轉空：外資賣超擴大-14,659張(連5賣、T86官方)、投信+284連3買、自營+5,123連4買大幅低接；全市場BFI82U三大法人大賣-1,176.0億（外資-874.8億）。📊美股7/28分化：TSM -1.70%收$392.31相對抗跌、SOX -4.49%收11,035.68自史高-24.6%——記憶體/設備重挫（MU -8.85%、AMAT -7.82%、AMKR -24.74%）、AMD -8.15%；惟NVDA +0.25%/AAPL +0.94%翻紅、VIX反降-2.46%至18.21——未見美股系統性恐慌。⭐今晨(7/29)韓股初步止穩：三星盤中~22.8萬(+3.6%)、SK持平；✅SK海力士7/29公布Q2財報全面創高：營收79.32兆韓元(+257% YoY)、營益60.54兆韓元(+557% YoY)、營益率76%、淨利93.92兆韓元，HBM4已於Q2大量出貨、下半年續拉升並強調維持資本支出紀律——「獲利創高vs股價-14.7%」極端背離，佐證本輪為槓桿去化與中國供給端敘事殺盤、非AI需求轉弱。📊ADR溢價回擴至+11.2%（匯率32.30）。技術面(官方收盤計算)：RSI 40.8、MACD綠柱急擴-33.9且DIF -9.3深陷零軸下（中期空方確立）、KDJ死叉深化且J 9.5超賣（K29.1/D38.9）；支撐2,270/2,230/2,200、壓力2,289-2,290/2,305/2,320/2,347-2,357。⭐觀察：韓股止穩延續性、守2,270／收復布林下軌2,289、外資賣超能否收斂、今晚美股MSFT/META財報。</t>
        </is>
      </c>
      <c r="G96" s="53" t="inlineStr">
        <is>
          <t>Yahoo Finance / Bloomberg</t>
        </is>
      </c>
    </row>
    <row r="97">
      <c r="A97" s="50" t="inlineStr">
        <is>
          <t>2026-07-30</t>
        </is>
      </c>
      <c r="B97" s="50" t="inlineStr">
        <is>
          <t>NT$2,200（7/29收）</t>
        </is>
      </c>
      <c r="C97" s="57" t="inlineStr">
        <is>
          <t>-3.51%（7/29收）</t>
        </is>
      </c>
      <c r="D97" s="50" t="inlineStr">
        <is>
          <t>US$374.67（7/29收）</t>
        </is>
      </c>
      <c r="E97" s="50" t="inlineStr">
        <is>
          <t>68,140（7/29收）</t>
        </is>
      </c>
      <c r="F97" s="52" t="inlineStr">
        <is>
          <t>報告日2026-07-30(Thu)。⚠️股災第2日：台股7/29大盤-1,564.18點(-3.76%)收40,039.18、兩日累計約-3,595點貼近4萬關口；2330官方收NT$2,200(-80、-3.51%、開2,260/高2,280/低2,180、量68,140張、額1,515.52億、675,528筆、TWSE確認)——13:00後恐慌殺盤觸2,180尾盤拉回、跌幅與大盤相當、抗跌角色弱化；供應鏈續殺：日月光-9.93%、華邦電-9.72%、聯電-9.69%。✅籌碼賣壓明顯收斂（最重要邊際變化）：外資賣超-11,211張(連6賣、自-14,659收斂24%、T86官方)、投信+1,652連4買放大6倍、自營+4,893連5買；全市場BFI82U賣超-351.5億（外資-222.5億）自-1,176億收斂70%——恐慌高峰或已過。⚠️美股7/29由分化轉全面補跌：TSM -4.50%收$374.67、SOX -5.33%收10,447.49自史高-28.6%——KLAC -10.80%、MU -9.94%、AMAT -8.40%、AMD -5.51%、NVDA -3.55%翻黑；僅AAPL -0.56%抗跌；VIX +13.5%升破20至20.66——前日分化格局終結。📅FOMC 7/29鷹派按兵不動：利率3.50-3.75%連5次、投票9-3分歧（3票主張升息）、主席Warsh未鬆口；WTI反彈~$84.2。⭐盤後財報第一根修復錨：MSFT營收$90.01B大超預期、Azure +43%、FY26 Azure首破$1,000億——盤後大漲+8.83%收$425.01（正規盤收$390.54、-0.71%；財報剛公布時僅約+3%、電話會後持續擴大）；META營收+28%超預期惟EPS miss ~14%、2026 CapEx $125-145B——盤後-7.45%收$542.00（正規盤收$585.61；一度殺至-9.64%）——AI CapEx未收縮、對TSMC訂單能見度正面。⚠️韓股7/29續挫：SK海力士財報創史高仍-9.61%、三星-5.23%；KOSPI 7/29官方收5,663.24(-5.98%、前收6,023.66、連2度熔斷——已補查證)。📈今晨(7/30)盤中09:26亞股同步回穩：台股大盤40,235.08(+0.49%、日內39,404.65-40,452.01)、2330開2,205/高2,240/低2,190於2,200上下震盤、KOSPI 5,665.17(+0.03%、區間5,547-5,781)、日經約+1.59%——屬極度超賣後技術性回穩、非趨勢反轉（盤中數據）。📊ADR溢價+10.2%（匯率32.36）。技術面(官方收盤計算)：RSI 35.6、MACD綠柱-47.8急擴且DIF -22.2深陷零軸下、KDJ死叉第4日且J -9.3轉負（極度超賣、歷史罕見）；支撐2,180/2,134(120MA)/2,100、壓力2,248(布林下軌)/2,260/2,280/2,317。⭐觀察：守2,180／收復2,248、今晚AAPL/AMZN財報、外資賣超收斂延續性、韓股止跌、232條款今明兩日出爐。</t>
        </is>
      </c>
      <c r="G97" s="50" t="inlineStr">
        <is>
          <t>Yahoo Finance / Bloomberg</t>
        </is>
      </c>
    </row>
    <row r="98">
      <c r="A98" s="53" t="inlineStr">
        <is>
          <t>2026-08-03</t>
        </is>
      </c>
      <c r="B98" s="53" t="inlineStr">
        <is>
          <t>NT$2,425（7/31收）</t>
        </is>
      </c>
      <c r="C98" s="54" t="inlineStr">
        <is>
          <t>+9.98%（7/31收）</t>
        </is>
      </c>
      <c r="D98" s="53" t="inlineStr">
        <is>
          <t>US$404.25（7/31收）</t>
        </is>
      </c>
      <c r="E98" s="53" t="inlineStr">
        <is>
          <t>69,478（7/31收）</t>
        </is>
      </c>
      <c r="F98" s="55"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8" s="53" t="inlineStr">
        <is>
          <t>Yahoo Finance / Bloomberg</t>
        </is>
      </c>
    </row>
    <row r="99">
      <c r="A99" s="50" t="inlineStr">
        <is>
          <t>2026-08-04</t>
        </is>
      </c>
      <c r="B99" s="50" t="inlineStr">
        <is>
          <t>NT$2,370（8/3收）</t>
        </is>
      </c>
      <c r="C99" s="57" t="inlineStr">
        <is>
          <t>-2.27%（8/3收）</t>
        </is>
      </c>
      <c r="D99" s="50" t="inlineStr">
        <is>
          <t>US$406.11（8/3收）</t>
        </is>
      </c>
      <c r="E99" s="50" t="inlineStr">
        <is>
          <t>35,210（8/3收）</t>
        </is>
      </c>
      <c r="F99" s="52"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9" s="50" t="inlineStr">
        <is>
          <t>Yahoo Finance / Bloomberg</t>
        </is>
      </c>
    </row>
    <row r="100">
      <c r="A100" s="53" t="inlineStr">
        <is>
          <t>2026-08-05</t>
        </is>
      </c>
      <c r="B100" s="53" t="inlineStr">
        <is>
          <t>NT$2,320（8/4收）</t>
        </is>
      </c>
      <c r="C100" s="56" t="inlineStr">
        <is>
          <t>-2.11%（8/4收）</t>
        </is>
      </c>
      <c r="D100" s="53" t="inlineStr">
        <is>
          <t>US$417.17（8/4收）</t>
        </is>
      </c>
      <c r="E100" s="53" t="inlineStr">
        <is>
          <t>41,021（8/4收）</t>
        </is>
      </c>
      <c r="F100" s="55" t="inlineStr">
        <is>
          <t>報告日2026-08-05(Wed)。📊台美短線背離、今日補漲條件齊備：台股8/4連2日獲利了結——2330收NT$2,320(-50、-2.11%、開2,335/高2,360/低2,310、量41,021張低於5日均量53,044、額954.55億、277,787筆、TWSE確認)、跌破20MA 2,371與60MA 2,350（季線失守）；大盤僅-25.75點(-0.06%)收43,360.66、上漲578家&gt;下跌406家——矽光子/CPO/低軌衛星漲停潮、中小型接棒；華邦電+9.79%續強、日月光-4.10%、聯發科-1.15%拉回換手。⚠️籌碼：外資連2賣-12,430張（自-9,717擴大、「一日翻多」確認失敗）、投信+434連8買、自營-2,327、三大合計-14,323張（T86官方）；全市場BFI82U合計+20.1億（外資-57.3億、投信+271.7億大買、自營-194.3億）——外資調節集中權值、內資持續進場。⭐美股8/4半導體史詩級大漲：SOX+6.55%收12,179.26（自史高收斂至-16.8%）——ARM+17.36%收$280.56、INTC+10.84%站上$100、AMKR+9.89%、LRCX+7.85%、MU+7.62%、KLAC+6.95%、AVGO+6.61%、AMAT+5.48%、ASML+4.22%、NVDA+2.56%收$211.94；S&amp;P 500+1.79%收7,736.52創收盤新高、那指+2.6%、Palantir+29%；TSM+2.72%收$417.17連4日收高創本輪新高；AMZN-2.32%、META-0.39%——資金自hyperscaler轉入半導體；VIX 16.50。📊AMD Q2財報（8/4盤後）全面超標：營收$11.53B(+50% YoY、超共識~$11.3B)創新高、EPS $1.66超$1.62、資料中心$6.7B(+107%、占58%)、Q3指引$13B±0.3B遠超共識$12.52B——惟盤後重挫-8.82%收$472.85（19:59 ET最終讀數、高「耳語數字」回吐）——需求數字對TSMC先進製程/CoWoS實質正面。⭐韓股V型再起：8/4尾盤收復（盤中-3%→三星收+0.21% 24.0萬、SK+0.64% 157.7萬）、今晨8/5盤中暴漲——SK+7.67%至169.8萬、三星+4.79%、KOSPI 6,670.67（較8/3+6.6%；8/4官方指數Yahoo缺漏）。📊BWIBBU官方P/E 31.19x/P/B 10.21x/殖利率0.95%；ADR溢價暴衝至+16.38%（$417.17 vs理論值$358.47、匯率32.36）——近期最大、今日補漲壓力極強。技術面依官方收盤重算（至8/4）：RSI 47.3、MACD綠柱-12.4續收斂（DIF-17.8零軸下）、KDJ金叉延續（K53.9/D44.2/J73.3）、5MA 2,304/120MA 2,152仍站上；支撐2,310/2,304/2,215、壓力2,345/2,350/2,360/2,371/2,425/2,535。整體信號：中性偏多。⭐觀察：跳空收復2,350(60MA)/2,371(20MA)與否、外資連2賣能否翻買、AMD盤後跌勢對亞股AI情緒干擾（韓股今晨已大漲、暫未兌現）、232條款（仍未查得公布）與台美關稅談判（傳20%→~15%）。全程TWSE/Yahoo官方API取數。</t>
        </is>
      </c>
      <c r="G100" s="53" t="inlineStr">
        <is>
          <t>Yahoo Finance / Bloomberg</t>
        </is>
      </c>
    </row>
    <row r="101">
      <c r="A101" s="50" t="inlineStr">
        <is>
          <t>2026-08-06</t>
        </is>
      </c>
      <c r="B101" s="50" t="inlineStr">
        <is>
          <t>NT$2,405（8/5收）</t>
        </is>
      </c>
      <c r="C101" s="51" t="inlineStr">
        <is>
          <t>+3.66%（8/5收）</t>
        </is>
      </c>
      <c r="D101" s="50" t="inlineStr">
        <is>
          <t>US$414.00（8/5收）</t>
        </is>
      </c>
      <c r="E101" s="50" t="inlineStr">
        <is>
          <t>36,782（8/5收）</t>
        </is>
      </c>
      <c r="F101" s="52" t="inlineStr">
        <is>
          <t>報告日2026-08-06(Thu)。⭐補漲兌現、季線失而復得：台股8/5大反攻——2330跳空開2,385、收NT$2,405(+85、+3.66%、高2,415/低2,370、量36,782張低於5日均量46,773、額881.58億、119,876筆、TWSE確認)、一舉收復20MA 2,369與60MA 2,352（季線失守僅1日）；大盤大漲+1,250.94點(+2.89%)收44,611.60——完全回應前日SOX+6.55%與ADR溢價+16.4%的補漲訊號；聯發科+3.49%站上4,000、華邦電+7.64%連4大漲、日月光+1.37%。✅籌碼翻多：外資翻買+12,251張（終結連2賣、T86官方）、投信-1,205張（連8買中止、獲利調節）、自營-1,099、三大合計+9,948張；全市場BFI82U合計+1,030.3億大買（外資+903.1億近期最大單日回補、投信+112.7億）。📊美股8/5暴漲後回吐整理：SOX-1.40%收12,008.88守住12,000——設備股回落（LRCX-3.25%、AMKR-3.60%、AMAT-2.26%、ASML-1.97%、ARM-2.13%）；NVDA逆勢+3.44%收$219.22連5高——SpaceX宣布獨家採用NVIDIA處理器、2026年底算力擴至2GW+、Vera Rubin NVL72獲點名；AMD財報後正式定價-7.04%收$482.05（Q2全面超標仍遭高估值賣壓、P/E約53倍）；S&amp;P-0.17%、那指-0.83%、VIX降至15.81；TSM-0.76%收$414.00連4高中止。⚠️韓股今晨大幅回吐：8/5大漲（SK+5.77%收166.8萬、三星+2.50%收24.6萬、市場關注股東回饋方案）後、今晨8/6開盤重挫——SK盤中-6.83%至155.4萬、三星-2.64%（Yahoo 08:33快照）——今日台股情緒逆風。📊產業：2nm報價傳漲10-20%（自傳言50%收斂、未官方證實）；熊本JASM廠震後全面復產；ABF基板傳被鎖產能至2028。📊BWIBBU官方P/E 32.33x/P/B 10.59x/殖利率0.91%；ADR溢價自+16.38%大幅收斂至+10.97%（$414.00 vs理論值$373.09、匯率32.23）——背離健康解除。技術面依官方收盤重算（至8/5）：RSI 53.0回中軸上、MACD黃金交叉（DIF-11.3上穿DEA-11.5、柱+0.5翻紅）、KDJ金叉延續（K66.6/D51.7/J96.3偏高過熱）、站回全部均線（5MA 2,345/20MA 2,369/60MA 2,352/120MA 2,157）；支撐2,371/2,370/2,352/2,345/2,320、壓力2,415/2,425/2,522/2,535。整體信號：中性偏多。⭐觀察：韓股重挫下守2,370-2,371缺口與否、外資翻買延續性、今晚SOX守12,000、232條款（仍未查得公布、未能證實）。全程TWSE/Yahoo官方API取數。</t>
        </is>
      </c>
      <c r="G101" s="50" t="inlineStr">
        <is>
          <t>Yahoo Finance / Bloomberg</t>
        </is>
      </c>
    </row>
    <row r="102">
      <c r="A102" s="53" t="inlineStr">
        <is>
          <t>2026-08-07</t>
        </is>
      </c>
      <c r="B102" s="53" t="inlineStr">
        <is>
          <t>NT$2,365（8/6收）</t>
        </is>
      </c>
      <c r="C102" s="56" t="inlineStr">
        <is>
          <t>-1.66%（8/6收）</t>
        </is>
      </c>
      <c r="D102" s="53" t="inlineStr">
        <is>
          <t>US$418.20（8/6收）</t>
        </is>
      </c>
      <c r="E102" s="53" t="inlineStr">
        <is>
          <t>25,537（8/6收）</t>
        </is>
      </c>
      <c r="F102" s="55" t="inlineStr">
        <is>
          <t>報告日2026-08-07(Fri)。📊台美背離重現、記憶體風暴未及代工：台股8/6縮量拉回——2330開2,395後全日走低、收NT$2,365(-40、-1.66%、高2,395/低2,360、量25,537張僅5日均量41,605的61%近月最低、額606.01億、89,846筆、TWSE確認)——回吐8/5大漲的一半、跌破5MA 2,377，惟仍站20MA 2,364(貼線+1元)與60MA 2,354(季線未再失守)；大盤-214.90點(-0.48%)收44,396.70；族群分歧：華邦電+1.18%連5紅、日月光+0.34%，聯發科-2.00%自4,000回落。⚠️籌碼翻空、外資翻買僅1日：2330外資轉賣-4,011張(8/5的+12,251張未延續、驗證「ADR溢價套利一次性回補」疑慮)、投信-82張連2賣、自營-583、三大合計-4,676張(T86官方)；⭐惟全市場BFI82U仍+51.2億(投信+94.1億續買、外資+20.2億、自營合計-63.1億)——資金輪出台積電而非撤離台股。⭐美股8/6反向走強、TSM創本波收盤新高：SOX+0.33%收12,048.69連2日站穩12,000；TSM+1.01%收$418.20(Yahoo與StockAnalysis雙源確認)——在台股同日-1.66%下逆勢走高、台美背離重現；ARM+4.41%領漲、QCOM+1.82%、ASML+1.56%、AMD+1.50%收$489.28(財報賣壓僅1日、BofA維持買進)；⚠️記憶體與設備續弱：MU-1.31%、INTC-1.24%失守$100、AMAT-1.27%；NVDA-0.10%收$218.99高檔整理；S&amp;P-0.18%、那指-0.06%、道瓊-0.85%、VIX降至15.15(本波最低)。⚠️⭐韓股記憶體8/6崩跌但屬「記憶體利空、非代工利空」：SK海力士-10.37%收149.5萬韓元、三星-6.30%收23.05萬、KOSPI重挫逾4%觸發sidecar熔斷(採Yahoo官方收盤序列；媒體盤中快照報-5.7~-8.3%為不同時點)——導火線為SanDisk 8/5盤後FY27Q1營收指引$103-108億低於共識$108億、加上Western Digital財測平淡，兩者盤後跌逾8-10%(TradingKey/KED Global)；⭐台積電無HBM/NAND曝險，當晚SOX反收紅、TSM創新高即為市場分流定價；高盛/摩通維持韓廠買進(遠期本益比僅3.5-3.6倍)；今晨8/7韓股分歧(三星+2.82%、SK-1.34%)。📊產業：2nm報價漲幅確認10-20%(TrendForce、遠低於傳言50%、3-7nm漲3-10%、未經台積電官方證實)；熊本JASM廠震後全面復產(TechNews 8/4)；232條款8/7晨仍未查得公布(未能證實)；7月月營收預計8/10前後公布(6月4,426.8億、+67.9%YoY史上新高、基期極高、公布時點與金額未能證實)。📊BWIBBU官方P/E 31.80x/P/B 10.41x/殖利率0.93%；市值約NT$61.3兆；ADR溢價自+10.97%再度擴大至+13.98%($418.20 vs理論值$366.89、匯率32.23)——台股跌/ADR漲雙向背離重現、歷史上此型態多以台股補漲收斂。技術面依官方收盤重算(至8/6)：⭐出現「價跌指標未壞」溫和背離——MACD黃金交叉續強(DIF-9.2/DEA-11.1、柱+3.7較前日+0.5明顯放大、連2日紅柱擴張)、RSI 50.3貼中軸、KDJ金叉延續(K69.5/D57.6/J93.4仍偏高)；均線5MA 2,377(跌破)/20MA 2,364/60MA 2,354/120MA 2,162(仍站上)；支撐2,364/2,360/2,354/2,320/2,217、壓力2,377/2,395/2,415/2,425/2,511/2,535。整體信號：中性。⭐觀察：(1)ADR溢價+13.98%＋TSM創本波新高＋SOX站穩12,000、補漲條件再度具備；(2)外資是否連2賣；(3)量能能否自25,537張回升(守2,364且量增為多方、放量破2,354季線則轉弱)；(4)韓股記憶體利空是否外溢。全程TWSE/Yahoo官方API取數。</t>
        </is>
      </c>
      <c r="G102" s="53" t="inlineStr">
        <is>
          <t>Yahoo Finance / Bloomberg</t>
        </is>
      </c>
    </row>
    <row r="103">
      <c r="A103" s="50" t="inlineStr">
        <is>
          <t>2026-08-10</t>
        </is>
      </c>
      <c r="B103" s="50" t="inlineStr">
        <is>
          <t>NT$2,370（8/7收）</t>
        </is>
      </c>
      <c r="C103" s="51" t="inlineStr">
        <is>
          <t>+0.21%（8/7收）</t>
        </is>
      </c>
      <c r="D103" s="50" t="inlineStr">
        <is>
          <t>US$420.04（8/7收）</t>
        </is>
      </c>
      <c r="E103" s="50" t="inlineStr">
        <is>
          <t>24,414（8/7收）</t>
        </is>
      </c>
      <c r="F103" s="52" t="inlineStr">
        <is>
          <t>報告日2026-08-10(Mon)。⭐外部條件全面轉多、補漲條件齊備：台股8/7小漲站回全均線——2330開2,390高開後回測2,355(貼近60MA 2,357獲支撐)、尾盤收NT$2,370(+5、+0.21%、高2,395/低2,355、量24,414張僅5日均量32,593的75%近月新低、額579.47億、64,670筆、TWSE確認)——站回5MA 2,366、重新站上全部均線(20MA 2,362/60MA 2,357/120MA 2,167)；大盤-170.79點(-0.38%)收44,225.91、2330相對強勢。✅籌碼翻多、三大法人同步站買方：外資回買+642張(終結1日賣超)、投信+61張(終結連2賣)、自營+1,243、合計+1,946張(T86官方)——幅度溫和需連2買確認；⚠️全市場BFI82U合計-428.9億(外資-407.2億大賣、投信-12.0億)——集中調節中小型與記憶體(華邦電外資-43,331張、-4.39%連5紅中止；日月光-3,054張、-1.68%)、資金回流台積電等權值避風。⭐美股8/7(五)半導體全面大漲：SOX+2.56%收12,356.79創本波新高(連3日站上12,000、自史高收斂至-15.6%)；NVDA+2.27%收$223.96創歷史新高；QCOM+4.66%、KLAC+2.53%、AMAT+2.21%、ASML+2.15%創本波新高、AMKR+2.05%、INTC+1.84%收復$100——設備股全面反攻；TSM+0.44%收$420.04連2日創本波收盤新高；AMD-1.21%、ARM-1.43%、MU-0.44%少數逆勢；S&amp;P+0.62%收7,757.64創收盤新高、那指+1.30%、VIX降至14.90(本波最低)；台指期夜盤大漲約736點(媒體報導)。✅韓股記憶體風暴緩和：SK 8/7 -4.88%收142.2萬韓元後、今晨8/10反彈+2.46%至145.7萬、三星+1.19%、KOSPI+1.00%(Yahoo 09:37 KST快照)——二次崩跌未發生；⚠️惟台股記憶體補跌已現(華邦電-4.39%)。📅7月合併月營收截至今晨未公布(pr.tsmc.com查證)、預計今日(8/10)前後公布——投顧預估上看4,500億(預期值、非官方)；6月4,426.8億(+67.9%YoY)基期極高。📊「台積電條款」今日上路：千金股注意標準價差門檻100→300元、處置期10→5日——高價權值股流動性利多。📊BWIBBU官方P/E 31.86x/P/B 10.43x/殖利率0.93%；市值約NT$61.4兆；ADR溢價自+13.98%續擴至+14.28%($420.04 vs理論值$367.56、匯率32.24)——連3日擴大、歷史上多以台股補漲收斂。技術面依官方收盤重算(至8/7)：RSI 50.6中軸上方、MACD黃金交叉續強(DIF-7.1/DEA-10.3、柱+6.3較前日+3.7續放大、連3日紅柱擴張)、KDJ金叉延續(K72.2/D62.5/J91.7偏高)；均線5MA 2,366/20MA 2,362/60MA 2,357/120MA 2,167全數站上；支撐2,366/2,362/2,357/2,355/2,320/2,217、壓力2,390/2,395/2,415/2,425/2,507/2,535。整體信號：中性偏多。⭐觀察：(1)補漲幅度與量能——ADR溢價+14.28%＋SOX創本波新高＋夜盤+736點、開高機率高、關鍵在量能能否自24,414張明顯回升並站穩2,395-2,415壓力區；(2)7月營收公布時點與數字；(3)外資回買+642張延續性(連2買才確認)；(4)232條款仍未公布(未能證實)。全程TWSE/Yahoo官方API取數。</t>
        </is>
      </c>
      <c r="G103" s="50" t="inlineStr">
        <is>
          <t>Yahoo Finance / Bloomberg</t>
        </is>
      </c>
    </row>
    <row r="104">
      <c r="A104" s="53" t="inlineStr">
        <is>
          <t>2026-08-12</t>
        </is>
      </c>
      <c r="B104" s="53" t="inlineStr">
        <is>
          <t>NT$2,395（8/11收）</t>
        </is>
      </c>
      <c r="C104" s="54" t="inlineStr">
        <is>
          <t>+0.63%（8/11收）</t>
        </is>
      </c>
      <c r="D104" s="53" t="inlineStr">
        <is>
          <t>US$422.06（8/11收）</t>
        </is>
      </c>
      <c r="E104" s="53" t="inlineStr">
        <is>
          <t>18,248（8/11收）</t>
        </is>
      </c>
      <c r="F104" s="55" t="inlineStr">
        <is>
          <t>報告日2026-08-12(Wed)。⚠️8/11排程未執行、本次一併補記8/10行情。⭐基本面雙重利多落地、量縮緩攻逼近2,400：(1)7月營收4,675.81億(+44.69%YoY、+5.62%MoM、8/10盤後公布)連3月創單月新高、優於投顧預期4,500億；1-7月累計2.87兆(+37.0%YoY)、Q3指引達成無虞；(2)8/11董事會四大議案：Q2配息NT$7.0/股(12/10除息、12/16基準、2027-01-07發放、⭐首推外資美元領息選項)、核准資本預算約US$294.4億、與Sony半導體合資7,470億日圓於熊本設新公司開發次世代影像感測器(台積電出資2,820億日圓約NT$572億、2029量產)、通過Q2財報(營收1.270兆、純益7,065.6億、H1 EPS 49.33)。📊台股連2紅：8/10 +0.42%收2,380(大盤+1.59%大漲702.85點收44,928.76——2330補漲落後、資金衝記憶體/封裝：華邦電+9.79%、日月光+7.69%)；8/11 +0.63%收2,395(開2,390/高2,405/低2,375、TWSE確認)收復2,390逼近2,400；大盤+0.43%收45,120.72續創8月反彈新高、2330轉相對強勢。⚠️量能連5日萎縮：8/11僅18,248張(5日均量25,296的72%、近月新低：36,782→25,537→24,414→21,498→18,248)、額436.67億——無量緩漲、突破2,400-2,410壓力區需量能確認。✅籌碼續翻多：2330外資連3買且加碼(+642→+119→+3,498張)、投信連3買(+61→+153→+382)、自營-189、8/11三大合計+3,691張(T86官方)；全市場BFI82U 8/10大買+736.1億(外資+517.4億)、8/11續買+280.1億(外資+223.3億)——資金全面回流。📊美股8/10回檔8/11反彈：SOX 8/10 -2.94%收11,993.86(油價通膨疑慮＋AI資本支出雜訊、NVDA-2.86%、INTC-4.06%破$100)→8/11 +0.87%收12,098.47(FT報導NVIDIA攜華爾街大行籌$5,000億AI基建資金；設備股領漲ASML+3.80%、KLAC+4.01%首站$200)；TSM 8/11 +0.86%收$422.06創本波收盤新高且逆大盤(S&amp;P-0.32%收7,728.20、VIX 15.28)。✅韓股今晨(8/12)大漲：三星+3.55%至24.8萬韓元、SK+2.32%至145.8萬、KOSPI+2.06%(盤中快照)——記憶體行情重啟、華邦電外資2日回補+56,916張。📊BWIBBU官方P/E 32.20x/P/B 10.54x/殖利率0.92%；市值約NT$62.1兆；ADR溢價自+14.28%收斂至+13.56%($422.06 vs理論值$371.66、匯率32.22)——以台股補漲收斂、符合歷史型態。技術面依官方收盤重算(至8/11)：RSI 52.5續升、MACD黃金交叉續強(DIF-1.36逼近零軸/DEA-7.58、柱+12.43連5日擴張：+0.53→+3.68→+6.31→+9.09→+12.43)、KDJ金叉延續(K79.3/D71.0/J96.0偏高)；均線5MA 2,383/10MA 2,344/20MA 2,358/60MA 2,361/120MA 2,177全數站上且5MA上彎；支撐2,390/2,383/2,375/2,361/2,358/2,320、壓力2,400/2,405/2,410/2,425/2,497/2,535。整體信號：中性偏多。⭐觀察：(1)2,400-2,410攻防與量能能否終結連5縮；(2)📅今晚(美東8/12)美國7月CPI——短線最大宏觀變數(8/10美股回檔即因通膨疑慮)；(3)外資連4買將確立中期翻多；(4)232條款半導體專章仍未公布(未能證實)。全程TWSE/Yahoo官方API取數。</t>
        </is>
      </c>
      <c r="G104" s="53" t="inlineStr">
        <is>
          <t>Yahoo Finance / Bloomberg</t>
        </is>
      </c>
    </row>
    <row r="105">
      <c r="A105" s="50" t="inlineStr">
        <is>
          <t>2026-08-13</t>
        </is>
      </c>
      <c r="B105" s="50" t="inlineStr">
        <is>
          <t>NT$2,415（8/12收）</t>
        </is>
      </c>
      <c r="C105" s="51" t="inlineStr">
        <is>
          <t>+0.84%（8/12收）</t>
        </is>
      </c>
      <c r="D105" s="50" t="inlineStr">
        <is>
          <t>US$429.15（8/12收）</t>
        </is>
      </c>
      <c r="E105" s="50" t="inlineStr">
        <is>
          <t>19,448（8/12收）</t>
        </is>
      </c>
      <c r="F105" s="52" t="inlineStr">
        <is>
          <t>報告日2026-08-13(Thu)。⭐⭐突破2,400收最高、MACD DIF上穿零軸、今晨夜盤大漲：(1)⭐台股攻堅收在最高——2330 8/12收2,415(+20、+0.84%、開2,405/高2,415/低2,390、TWSE確認)一舉突破2,400整數與2,405(8/11高)/2,410(8/10高)三道壓力，收盤價與當日最高同價為強勢作收、創7/31(收2,425)以來收盤新高；連3日收高、站上全部均線；大盤+397.35點(+0.88%)收45,518.07續創8月反彈新高。(2)⭐⭐技術面關鍵確認成立——MACD DIF自8/11的-1.36上穿零軸至+2.78(前一日日報即標記「DIF上穿零軸將為中期修復的關鍵確認訊號」、本日正式成立)、DEA-5.51、紅柱+16.57連6日擴張(+0.53→+3.68→+6.31→+9.09→+12.43→+16.57)；RSI 54.0中軸上方續升；⚠️惟KDJ J值99.8逼近100(K83.3/D75.1)、短線過熱。(3)⭐美國7月CPI符合預期、緊縮預期降溫：CPI月增0.1%/年增3.4%(前值3.5%)、核心月增0.2%/年增2.5%(前值2.6%)均符合預期且低於前值(BLS官方、CNBC 8/12)；居住項貢獻約2/3漲幅、能源月減1.5%(年增仍14.7%)；CME FedWatch 9月升息機率自45%降至42%——SOX+2.49%收12,399.38創本波新高、NVDA+3.03%收$224.09創收盤新高、TSM+1.68%收$429.15連3日創本波新高、VIX降至14.55；AI概念股財報全面告捷(CoreWeave+20%、Super Micro+15%、Nebius+12.5%)。(4)⭐⭐今晨夜盤大漲、開高機率極高：台指期(TX 202608)夜盤收46,117(+601點、+1.32%、量35,208口、TAIFEX官方)對現貨45,518.07正價差+599；台積電個股期貨(CDF 202608)夜盤收2,439(+26、+1.08%、高2,449)對現貨2,415正價差+24。(5)✅籌碼連4買：2330外資+2,627張(連4買：+642→+119→+3,498→+2,627)、投信+587張(連4買且逐日加碼：+61→+153→+382→+587)、自營-290(自行-235/避險-55)、三大合計+2,924張(T86官方)；全市場BFI82U連3日買超(8/10 +736.1億、8/11 +280.1億、8/12 +220.0億、外資+110.2億)。(6)⭐韓股記憶體全面爆發：8/12三星+6.68%收25.55萬韓元、SK海力士+5.54%收150.4萬；今晨8/13續飆——三星+3.72%至26.5萬、SK+7.11%至161.1萬、KOSPI 6,826.14(盤中快照)；⚠️惟台股記憶體/封裝8/12反向回檔(華邦電-0.56%收177.0、日月光-1.27%收621、聯發科-0.12%收4,015)——資金自中小型輪回權值台積電、與8/10方向相反。📊BWIBBU官方P/E 32.47x/P/B 10.63x/殖利率0.91%；市值約NT$62.6兆；ADR溢價自+13.56%擴大至+14.48%($429.15 vs理論值$374.88、匯率32.21)——ADR漲幅大於台股、台股續有補漲空間。技術面依TWSE官方收盤序列(2026-01-02~08-12共146個交易日)重算：RSI 54.0、MACD DIF+2.78上穿零軸/DEA-5.51/柱+16.57連6日擴張、KDJ K83.3/D75.1/J99.8(逼近超買)；均線5MA 2,385/10MA 2,365/20MA 2,356/60MA 2,364/120MA 2,183全數站上；布林2,493/2,356/2,220；支撐2,405/2,400/2,390/2,385/2,365/2,364、壓力2,425/2,440/2,449/2,493/2,535。⚠️衍生品註記：8/12為週三週選結算日、TXO未平倉大幅結清重建(買權83,111→57,021口、賣權102,705→60,479口)，P/C比自1.24降至1.06屬結算技術性因素而非情緒逆轉，勿與8/11直接比較。整體信號：中性偏多。⭐觀察：(1)夜盤正價差+24指向開高——能否放量站穩2,415並挑戰2,425(7/31收)為第一檢核點；(2)⚠️量能能否突破21,829張(5日均量)——8/12僅89%均量、無量衝高提防沖高回落；(3)KDJ J 99.8過熱的消化方式；(4)外資連5買延續性；(5)232條款半導體專章仍未公布(未能證實)。全程TWSE/TAIFEX/Yahoo官方API取數。</t>
        </is>
      </c>
      <c r="G105" s="50" t="inlineStr">
        <is>
          <t>Yahoo Finance / Bloomberg</t>
        </is>
      </c>
    </row>
    <row r="106">
      <c r="A106" s="53" t="inlineStr">
        <is>
          <t>2026-08-14</t>
        </is>
      </c>
      <c r="B106" s="53" t="inlineStr">
        <is>
          <t>NT$2,435（8/13收）</t>
        </is>
      </c>
      <c r="C106" s="54" t="inlineStr">
        <is>
          <t>+0.83%（8/13收）</t>
        </is>
      </c>
      <c r="D106" s="53" t="inlineStr">
        <is>
          <t>US$430.49（8/13收）</t>
        </is>
      </c>
      <c r="E106" s="53" t="inlineStr">
        <is>
          <t>26,233（8/13收）</t>
        </is>
      </c>
      <c r="F106" s="55" t="inlineStr">
        <is>
          <t>報告日2026-08-14(Fri)。⭐⭐放量突破確認、外資單日大買3,972張，惟三項保留：(1)⭐⭐量價配合正式成立——2330 8/13收2,435(+20、+0.83%、開2,440/高2,445/低2,425、TWSE確認)創7/16(收2,470)以來近一個月收盤新高、盤中高2,445為7/22以來最高；⭐關鍵在量能：26,233張為5日均量21,968張的119%(前一日僅89%)、較8/12的19,448張放大+34.9%、為8/6以來最大量——前一日日報標記的「突破屬賣壓稀薄而非買盤湧入、放量確認仍待觀察」正式獲得解答；連4日收高、站上全部均線(5MA 2,399/10MA 2,388/20MA 2,354/60MA 2,368/120MA 2,188)且5MA&gt;10MA&gt;20MA短期多頭排列成形。(2)⚠️惟型態留有瑕疵——跳空開高2,440(+25)後盤中衝至2,445、尾盤回落收2,435，收盤低於開盤5點的小黑K並留10點上影線，顯示2,445一帶有實質調節賣壓；2,425(8/13低=7/31收)為假突破與否的關鍵防守。(3)⭐⭐籌碼是本日最強訊號——2330外資+3,972張(連5買：+642→+119→+3,498→+2,627→+3,972、為本波最大單日買超)、投信+736張(連5買且每日遞增：+61→+153→+382→+587→+736)、自營+93由賣轉買(自行+198/避險-105)、三大合計+4,801張(T86官方)；全市場BFI82U連4日買超且大幅放大——8/13合計+892.5億、外資+756.9億(前一日僅+110.2億、單日放大逾6倍)為本波資金回流最強單日。(4)⭐大盤破兆：加權+503.41點(+1.11%)收46,021.48續創8月反彈新高、成交額1.104兆(+23.7% vs 8/12的8,927億)；⚠️惟2330漲幅略遜大盤，資金更集中於聯發科+5.23%收4,225(+210元)與台達電+5.31%收1,885(媒體報導)——市場歸因MSCI季度調整增碼晶片指數成分股(非官方說明)。(5)⭐技術面續強：MACD DIF自+2.78續揚至+7.58站穩零軸(8/12的上穿獲延續、非假突破)、DEA-2.89逼近零軸、紅柱+20.94連7日擴張且仍在加速；RSI 55.5續升；⚠️惟KDJ J值101.5突破100進入極端超買(K86.4/D78.9、前一日99.8)、且與RSI(55.5未過熱)背離。(6)📊美股8/13動能收斂且族群分歧：TSM+0.31%收$430.49(連4日創本波收盤新高惟弱於S&amp;P+0.65%)、SOX+0.46%收12,456.00(漲幅自+2.49%大幅收斂)；記憶體與設備續強(MU+4.23%、INTC+3.58%、LRCX+3.34%、ASML+2.09%)；⚠️AMAT-2.48%為設備股唯一收黑、且收盤後財報全面優於預期(營收91.2億+24.8%YoY、Q4財測102.5億優於預期6-8%)仍盤後再挫約5%——「優於預期仍不夠好」，跌幅將反映於8/14、為今日費半潛在拖累。(7)⭐韓股記憶體延燒第三日：8/13三星+4.89%收26.80萬韓元、SK海力士+5.92%收159.3萬；今晨8/14分歧——SK續飆+4.14%至165.9萬、三星僅+0.09%持平(09:01台北快照)；催化劑為SK宣布Q3股東回饋時程＋韓媒報導Temasek考慮直接入股(未經證實)；⚠️惟台股華邦電8/13平盤收177.0、連3日未漲，未受惠此波行情。(8)⚠️今晨夜盤正價差大幅收斂、上攻動能放緩：台指期(TX 202608)夜盤收46,389(+364、+0.79%、量27,782口)對現貨46,021.48正價差+368(前一日+599)；台積電個股期貨(CDF 202608)夜盤收2,439(+11、+0.45%、量1,250口)對現貨2,435正價差僅+4(前一日+24)；夜盤量能同步萎縮(35,208→27,782口、1,790→1,250口)。📊BWIBBU官方P/E 32.74x/P/B 10.72x/殖利率0.90%；市值約NT$63.1兆；ADR溢價自+14.48%收斂至+13.54%($430.49 vs理論值$379.16、匯率32.11)——台股漲幅大於ADR且台幣升值(32.20→32.11)、補漲缺口已部分回補。⭐衍生品：TXO為8/12週選結算後新周期第一日，買權未平倉自57,021口重建至73,822口、賣權自60,479口重建至82,705口，P/C比自1.06回升至1.12——賣權重建快於買權、偏多訊號恢復，前一日的結算失真已消除。三大法人台指期未平倉淨額(8/13)：外資-86,249口、投信+82,327口、自營+472口，與8/12幾無變化。技術面依TWSE官方收盤序列(2026-01-02~08-13共147個交易日)重算、8/12各項指標與前一日已發布值完全一致(RSI 54.0/DIF 2.78/J 99.8)、序列連續性驗證通過：RSI 55.5、MACD DIF+7.58/DEA-2.89/柱+20.94連7日擴張、KDJ K86.4/D78.9/J101.5(極端超買)；布林2,486/2,354/2,223；支撐2,425/2,415/2,400/2,399/2,388/2,368、壓力2,445/2,470/2,486/2,535。⚠️本次同時更正前一日日報兩項錯誤標示(經Yahoo 2年序列查證)：NVDA 8/12收$224.09並非「創收盤新高」(歷史收盤高點為2026-05-14的$235.74、盤中高$236.54，8/13收$225.30距史高仍-4.4%)；ASML 8/12收$1,810.07並非「再創歷史新高」(歷史收盤高點為2026-06-30的$1,989.44)——兩者正確說法均為「本波反彈新高」。整體信號：中性偏多。⭐今日(8/14 Fri)觀察：(1)能否守住2,425(8/13低=7/31收)——跌破即為假突破警訊；(2)量能能否維持2萬張之上，放量後的續航力比單日爆量更重要；(3)⚠️KDJ J 101.5過熱＋夜盤正價差僅+4——留意高檔震盪或獲利了結；(4)外資連6買與BFI82U大買的延續性；(5)AMAT盤後重挫對今日費半與台股設備族群的外溢效應；(6)232條款半導體專章8/13-14查無新公告(現行25%半導體關稅為2026年1月既有政策、非新事件)。全程TWSE/TAIFEX/Yahoo官方API取數。</t>
        </is>
      </c>
      <c r="G106" s="53" t="inlineStr">
        <is>
          <t>Yahoo Finance / Bloomberg</t>
        </is>
      </c>
    </row>
    <row r="107">
      <c r="A107" s="50" t="inlineStr">
        <is>
          <t>2026-08-17</t>
        </is>
      </c>
      <c r="B107" s="50" t="inlineStr">
        <is>
          <t>NT$2,395（8/14收）</t>
        </is>
      </c>
      <c r="C107" s="57" t="inlineStr">
        <is>
          <t>-1.64%（8/14收）</t>
        </is>
      </c>
      <c r="D107" s="50" t="inlineStr">
        <is>
          <t>US$426.35（8/14收）</t>
        </is>
      </c>
      <c r="E107" s="50" t="inlineStr">
        <is>
          <t>21,163（8/14收）</t>
        </is>
      </c>
      <c r="F107" s="52" t="inlineStr">
        <is>
          <t>報告日2026-08-17(Mon)，涵蓋上週五8/14收盤(8/15-16週末休市)。⚠️⚠️假突破警訊成立、MSCI調降權重觸發輪動賣壓，惟下跌「性質」比「幅度」更重要：(1)⚠️⚠️前一日日報第一觀察點方向不利——8/13報告明確標記「2,425是假突破與否的分水嶺」，8/14收2,395(-40、-1.64%、開2,435/高2,440/低2,395、TWSE確認)直接跌破達30點，並失守2,415、2,400整數與5MA 2,404、終結連4紅；收盤價=當日最低價的長黑K(實體40點、幾無下影線)，盤中高2,440未觸及8/13高2,445形成雙頂未過，賣壓延續至尾盤無承接——短線型態明確轉弱，此點必須誠實面對不應淡化。(2)⭐⭐但下跌成因是可辨識且有時限的技術性因素——MSCI於8/14公布季度調整：台灣整體權重在三大指數同步調升(新興市場26.6%→26.85%、全球3.08%→3.13%、亞洲不含日本29.75%→30.03%)，⚠️惟台積電在MSCI台灣指數權重反遭下調0.79個百分點至56.61%(在新興市場指數則以15.46%維持最大成分股)，同時新增南亞科、華邦電、群聯、台燿、南電、景碩等記憶體/PCB/載板股，剔除台泥、陽明、台企銀、全福生技、力旺、智冠——⭐所有調整於8/31收盤後生效，追蹤MSCI的被動資金須賣台積電、買新增成分股(Focus Taiwan引述MSCI)。台股當日極端輪動：台光電+8.35%收6,165、南電+7.41%收1,305、華碩+6.30%收996、緯穎+6.01%收6,435、華邦電+3.67%收183.5、欣興+2.00%收1,020 vs 台積電-1.64%、瑞昱-4.88%收721、聯詠-4.83%收512、聯電-2.81%收121、日月光-1.60%收616；⚠️誠實標注：新增成分股中的南亞科當日反而小跌-0.39%收512，MSCI效應並非一致，記憶體與載板族群自身產業動能亦是重要推力，不宜將漲幅全數歸因於指數調整。(3)⭐⭐判斷性質的核心證據是資金流向分歧——2330遭外資賣超3,024張(終結連5買：+642→+119→+3,498→+2,627→+3,972→-3,024)、投信賣超381張(亦終結連5買：+61→+153→+382→+587→+736→-381)、自營-373張(自行-13/避險-360)、三大合計-3,778張(T86官方)；⭐然而全市場BFI82U外資當日仍大買+453.5億、三大合計+516.6億(TWSE官方；Focus Taiwan獨立載明主板外資淨買453.5億)——外資是「賣台積電、買其他台股」，資金並未撤出台灣市場，與系統性風險造成的全面普跌有本質差異。(4)📊大盤跌幅遠小於台積電：加權-210.47點(-0.46%)收45,811.01終結連4紅(TWSE FMTQIK官方、盤中區間45,798.31~46,402.60)，⭐而台積電單檔即貢獻約320點跌幅(Focus Taiwan引述券商估算)——扣除台積電後大盤實為上漲；成交額1.11兆連2日站上兆元、量能未萎縮，顯示資金仍積極留在市場內部進行結構調整；券商分析師Alex Huang指台積電近期強勢後已進入整理模式、每逢走高即遇獲利了結，特別在指數逼近46,000點技術壓力區之際。(5)⭐技術面過熱快速消化、中期結構未破壞：⭐KDJ J值自101.5急降至78.2(K78.6/D78.8)——前一日標記的「J突破100極端超買」風險單日內完全釋放；RSI自55.5降至51.8仍穩居中軸之上；價格雖跌破5MA 2,404，仍站上10MA 2,385/20MA 2,360/60MA 2,371/120MA 2,192四條均線，⭐其中60MA季線2,371與20MA 2,360構成2,360-2,375密集支撐帶(距現價尚有20-35點緩衝)，該帶失守才是中期結構轉弱訊號；⚠️惟兩項轉弱訊號：K下穿D(78.6&lt;78.8、差距僅0.2點)形成短線死亡交叉、MACD紅柱8日來首次收縮(20.94→17.54)終結連7日擴張。(6)⭐MACD中期結構仍在改善：儘管紅柱收縮，⚠️但DIF不僅未隨股價下跌回落、反而自+7.58續揚至+8.07，DEA亦自-2.89大幅升至-0.70已貼近零軸——若DEA隨後上穿零軸，三線全數翻正的完整多頭結構仍將完成；正確描述為「短線轉弱、中期未變」。(7)⚠️前一日預警的AMAT外溢效應完全成立：AMAT 8/14重挫-5.12%收$507.18——⭐財報其實全面優於預期(Q3營收91.2億+25%YoY、Non-GAAP EPS $3.50 +41%YoY、Q4財測中值營收102.5億/EPS $4.02)仍遭拋售，三項歸因：本益比逾50倍已反映過高預期未達whisper number、中國營收占比自35%降至28%(美國出口管制持續)、資本支出與人力擴張帶來近期毛利率逆風；同日AVGO-5.94%跌破$400、KLAC-2.70%、LRCX-1.38%；⚠️對台積電意義：設備股修正源自估值與中國曝險而非晶圓廠資本支出轉弱，台積電CapEx $60-64B與2nm/A16擴產計畫未變。(8)⭐記憶體與AMD逆勢強勢、族群分歧極端：MU+2.30%收$971.66續創本波新高逼近$1,000(HBM產能售罄、訂單排至2027)；⭐⭐AMD+6.50%收$514.39首度站上$500為當日大型股最強——完成$47.5億史上最大投資級公司債發行(分四券種、法人需求強勁)並獲美銀長線看多，延續Q2資料中心營收年增一倍至67億美元(占總營收115.4億的58%)動能，其MI455X採2nm+HBM4由台積電代工、對台積電為實質正面；NVDA-0.06%收$225.16持平。(9)⭐韓股記憶體延燒第四日：8/14三星+2.43%收27.45萬韓元、SK海力士+3.26%收164.5萬、KOSPI+2.42%收6,977.94再創新高——⚠️記憶體supercycle正在排擠晶圓代工的資金配置，此分歧為本波最鮮明的結構特徵，其持續性直接決定台積電相對表現；⭐惟須區分這是資金面排擠而非台積電基本面轉弱。(10)⚠️今晨夜盤自正價差轉為逆價差、指向平開略低：台指期(TX 202608)夜盤收45,727(-85、-0.19%、量24,791口)對現貨45,811.01呈逆價差-84(前一日為正價差+368)；台積電個股期貨(CDF 202608)夜盤收2,393(-5、-0.21%、開2,402/高2,410/低2,387、量542口)對現貨2,395呈逆價差-2(前一日為正價差+4)——且夜盤量能大幅萎縮(個股期貨1,250→542口、台指期27,782→24,791口)，⭐惟量縮的小幅逆價差反映觀望而非恐慌。⚠️⚠️估值口徑重大變更須特別留意：TWSE官方BWIBBU 8/14顯示P/E 27.76x/P/B 9.66x(8/13為32.74x/10.72x)，此驟降並非股價因素(股價僅-1.64%)而是財報基準自「115/1」(Q1)換為「115/2」(Q2)、Q2獲利與淨值納入所致——屬分母更新而非評價重估，切勿誤讀為股票突然變便宜；殖利率0.92%(自0.90%微升係股價下跌所致)；市值NT$62.1兆。ADR溢價自+13.54%擴大至+14.37%($426.35 vs理論值$372.77、匯率32.12)——台股跌幅(-1.64%)大於ADR(-0.96%)、補漲缺口再度拉開；⚠️註：Yahoo TWD=X 8/14當日無報價、以8/13收盤32.1241替代，今晨8/17即期約31.93(台幣續升)，若以今晨匯率計溢價為+13.68%。⭐衍生品(TAIFEX官方8/14)：台積電個股期貨CDF 202608日盤收2,400(-28、-1.15%、量6,612口、結算價2,398、未沖銷10,952口連3日下降)對現貨2,395呈正價差+5；台指期TX 202608日盤收45,841(-184、-0.40%、量57,509口、結算價45,812、未沖銷84,339口)；TXO未平倉買權56,564口/賣權65,051口、P/C比自1.12升至1.15——⚠️雙邊未平倉同步大幅遞減主因8/19為8月月選結算日、到期臨近的部位了結與轉倉屬正常現象，惟賣權減幅(-21.3%)小於買權(-23.4%)使比率上升，在指數下跌背景下顯示市場並未大舉建立避險空頭。三大法人台指期未平倉淨額(8/14)：外資淨空-85,179口、投信淨多+80,335口、自營淨多+1,464口，與8/13(-86,249/+82,327/+472)差異甚微；⭐特別注意外資在現貨賣超2330三千餘張的同時、台指期空單反而小幅回補1,070口，並未同步加空指數，佐證本次為個股輪動而非對大盤方向性看空。技術面依TWSE官方收盤序列(2026-01-02~08-14共148個交易日)重算，⭐口徑驗證：以同一序列回算8/13各指標(RSI 55.5、DIF+7.58/DEA-2.89/柱+20.94、K86.4/D78.9/J101.5、5MA2,399/10MA2,388/20MA2,354/60MA2,368/120MA2,188、布林2,486/2,354/2,223)與前一日已發布數值完全一致、序列連續性確認無誤：8/14 RSI 51.8、MACD DIF+8.07/DEA-0.70/柱+17.54(8日來首次收縮)、KDJ K78.6/D78.8/J78.2；均線5MA 2,404(失守)/10MA 2,385/20MA 2,360/60MA 2,371/120MA 2,192；布林2,489/2,360/2,231；支撐2,395/2,385/2,375/2,371/2,360、壓力2,404/2,415/2,425/2,440/2,445/2,470/2,535。📅232條款半導體專章仍未公布(現行25%半導體關稅為2026-01-14公告、01-15生效的既有政策)；⭐8/6另就多晶矽發布232措施——15%從價稅＋最低進口價格(MIP)、2026-12-04生效，⚠️屬不同項目、對台積電無直接影響、不應混淆。✅基本面錨完全未變、本次下跌無任何基本面利空成分：7月營收4,675.81億(+44.69%YoY)連3月創高、1-7月累計2.87兆(+37.0%)；Q2大超預期(營收$40.20B、EPS$4.31/ADR、毛利率67.7%)、全年上修&gt;40%、CapEx $60-64B、2nm Q3放量＋報價漲10-20%、CoWoS訂滿至2027。整體信號：中性。⭐今日(8/17 Mon)觀察：(1)2,395(8/14收=當日低)能否守住——守住則本次回檔可定性為單日輪動，跌破則下一防守為2,385(10MA)/2,375(8/11低)/2,371(60MA季線)；(2)⚠️外資是否續賣——MSCI調整8/31收盤後才生效、被動資金通常分批調節而非一次到位，台積電指數相關賣壓延續至8月底的可能性須納入評估；(3)⭐2330與全市場外資買賣超的分歧是否延續——若全市場外資也轉為賣超，性質將自「輪動」升級為「撤退」，此為優先序最高的判別指標；(4)記憶體/載板vs晶圓代工的資金分歧是否收斂；(5)K/D死亡交叉是否延續擴大或如J值般快速修復；(6)量能能否維持2萬張之上。全程TWSE/TAIFEX/Yahoo官方API取數；fresh-context驗證隨後執行、如有出入以fix:更正。</t>
        </is>
      </c>
      <c r="G107" s="50" t="inlineStr">
        <is>
          <t>Yahoo Finance / Bloomberg</t>
        </is>
      </c>
    </row>
    <row r="108">
      <c r="A108" s="53" t="inlineStr">
        <is>
          <t>2026-08-18</t>
        </is>
      </c>
      <c r="B108" s="53" t="inlineStr">
        <is>
          <t>NT$2,400（8/17收）</t>
        </is>
      </c>
      <c r="C108" s="54" t="inlineStr">
        <is>
          <t>+0.21%（8/17收）</t>
        </is>
      </c>
      <c r="D108" s="53" t="inlineStr">
        <is>
          <t>US$430.97（8/17收）</t>
        </is>
      </c>
      <c r="E108" s="53" t="inlineStr">
        <is>
          <t>13,482（8/17收）</t>
        </is>
      </c>
      <c r="F108" s="55" t="inlineStr">
        <is>
          <t>報告日2026-08-18(Tue)，涵蓋8/17(Mon)收盤。⚠️⭐量能乾涸下的止跌整理、籌碼罕見分歧：(1)⚠️⚠️本日最重要數據是量能——8/17成交量13,482張為2026年全年149個交易日最低量(第二低8/11的18,248張、本日再低26.1%)、僅及5日均量19,715張的68%，使2,400的收復缺乏成交量背書，屬「賣壓消失」而非「買盤回補」。(2)⭐籌碼面本波最極端分歧：外資自8/14的-3,024張反手大買+4,442張(本波單日最大買超)，證實8/14賣超屬MSCI被動調節的單日技術性行為；⚠️但投信同日賣超擴大至-2,058張(連2賣、近期最大)、自營+142張、三大合計+2,526張(T86官方)；全市場外資+454.47億、投信-177.77億、三大合計+290.76億(BFI82U官方)。(3)⭐⭐技術面關鍵確認：MACD DEA自-0.70上穿零軸至+1.20、DIF續揚至+8.76，快慢線雙雙站上零軸完成完整多頭排列(繼8/12 DIF上穿後的第二道確認)；⚠️惟紅柱連2日收縮(20.94→17.54→15.13)、KD出現死亡交叉(K 69.1下穿D 75.5、J自78.2降至56.1)——中期偏多、短期偏弱並存。(4)📊均線僅失守5MA 2,408(差8點)，10MA 2,388/20MA 2,364/60MA 2,374/120MA 2,196全數站穩，RSI 52.2續守中軸。(5)⭐美股半導體與大盤背離：SOX+1.64%收12,621.00但S&amp;P500 -0.52%、那斯達克-0.32%、VIX+6.60%至15.19；設備股全面收復8/14失土(AMAT+5.55%收$535.31、LRCX+3.45%、ASML+2.12%、KLAC+1.00%)；⚠️客戶端落後(NVDA-0.07%、AVGO-0.14%、AMD-1.63%、QCOM-2.18%)。(6)⭐美光+4.13%收$1,011.75、逾6週來重返千元(前次為7/1的$1,032.28)；⚠️查證聲明：已用2年日線核對，8/17無任何相關個股創歷史新高(美光距6/25高$1,213.56有-16.63%、SOX距6/22高14,634.72有-13.76%)，市場流傳的「創新高」說法不予採用。(7)⚠️⚠️被低估的逆風：台幣自8/13的32.12四日升值1.00%至8/17的31.80(今晨31.78)，依法說指引每升1%毛利率約-40bps。(8)⚠️今晨夜盤倒V：TX 202608開46,000、衝高46,297後回落收45,811(-56、量25,712口)對現貨轉逆價差-46；CDF 202608夜盤收2,401(-2)對現貨僅+1。(9)⚠️明日8/19(週三)為8月台指期與台指選擇權「月」結算日，結算後未平倉與P/C比將重建、不可與結算前直接比較；8/17 P/C未平倉比117.16%(連3日回升)、CDF未平倉降至8,191口(連4日、屬轉倉)。(10)📊台股供應鏈極端分歧：欣興3037+9.80%收1,120、緯穎+2.87%、南亞科+2.34%；⚠️旺宏-5.47%、聯發科-3.80%收4,050、鴻海-1.73%。⚠️韓股8/17休市(光復節代替公休日)。今日觀察：量能能否回補至19,715張均量之上為第一順位、上檔5MA 2,408/2,415/2,425、下檔2,390/10MA 2,388/60MA 2,374。全程TWSE/TAIFEX/Yahoo官方API取數；技術指標依TWSE官方序列2026-01-02~08-17共149筆重算，並回算驗證8/14各值與前一日已發布日報完全一致。</t>
        </is>
      </c>
      <c r="G108" s="53" t="inlineStr">
        <is>
          <t>Yahoo Finance / Bloomberg</t>
        </is>
      </c>
    </row>
    <row r="109">
      <c r="A109" s="50" t="inlineStr">
        <is>
          <t>2026-08-20</t>
        </is>
      </c>
      <c r="B109" s="50" t="inlineStr">
        <is>
          <t>NT$2,350（8/19收）</t>
        </is>
      </c>
      <c r="C109" s="57" t="inlineStr">
        <is>
          <t>-1.26%（8/19收）</t>
        </is>
      </c>
      <c r="D109" s="50" t="inlineStr">
        <is>
          <t>US$412.09（8/19收）</t>
        </is>
      </c>
      <c r="E109" s="50" t="inlineStr">
        <is>
          <t>23,619（8/19收）</t>
        </is>
      </c>
      <c r="F109" s="52" t="inlineStr">
        <is>
          <t>報告日2026-08-20(Thu)，涵蓋8/19(Wed)收盤，並補齊8/18未發布日報之數據。⚠️⚠️外資狂賣7,418張、均線四線失守：(1)⚠️⚠️觸發點在美股而非台灣——8/18(美東)費半SOX暴跌-4.98%(-628.54點)收11,992.46、成分股無一上漲，記憶體為重災區(鎧俠ADR-13%、SanDisk/SK海力士ADR/希捷-9%+、美光-7.02%)，TSM ADR同日-4.07%收$413.41；根本原因是美伊談判停滯、油價走高、通膨疑慮推升美債殖利率(30年期一度創19年新高)，屬高評價成長股的評價壓縮而非AI需求轉弱。台股8/19跳空開低屬被動補跌。(2)⚠️⚠️技術面最重大惡化：8/19收2,350一舉跌破5MA 2,392/10MA 2,388/60MA季線2,377/20MA 2,360四條均線，僅剩120MA年線2,203未破——經2026年全年151個交易日序列查證，本年度收盤低於季線者僅6天、前次為8/4，故為8/4以來首見；兩個交易日前(8/17)尚為「五線僅失守5MA」。⚠️2,360~2,392僅32點內擠壓四條均線，原支撐帶已翻轉為極密集反壓帶；跳空缺口2,355~2,380全日未回補。(3)⚠️⚠️籌碼全面棄守：外資賣超2330達-7,418張(本波單日最大、為8/17大買+4,442張的完全反轉，近5日+3,972→-3,024→+4,442→-3,245→-7,418、兩日累計-10,663張)、投信-668張，僅自營商+719張(自行+371/避險+349)，三大合計-7,367張(T86官方)；全市場外資-416.39億、投信-166.01億、自營合計-171.18億、三大合計-753.59億(BFI82U官方；註：部分媒體引用708.48億，本報採TWSE官方合計數)。(4)⚠️量增價跌的派發型態：三日量能連續放大(8/17的13,482張=2026年最低量→8/18的19,997張→8/19的23,619張)而股價連續下跌(2,400→2,380→2,350)，8/19量較5日均量20,899張放大13.0%、為8/13以來最大量、額553.95億、193,704筆；與8/17「量縮價穩」性質完全相反。⭐惟盤中低2,335(8/4以來最低)尾盤收回15點，顯示初步承接。(5)⚠️月結算是放大器非起因：8/19為8月月結算日，TAIFEX官方顯示外資台股期貨淨空單81,501口(多6,692/空88,193)，印證媒體所指「壓低結算」；⭐對比投信淨多單74,789口、自營淨多單2,562口——內外資方向完全對立。⚠️⚠️TXO未平倉因結算大幅結清重建(賣權93,656→31,742口、買權89,500→31,036口、P/C比104.64%→102.27%)，屬技術性因素、不可與結算前比較或解讀為情緒逆轉。(6)⚠️指標：RSI 47.4跌破50中軸(8/4以來首見)；MACD DIF+4.22/DEA+2.83/柱狀圖+2.79，兩線差距自8/17的7.57急收斂至1.40、死叉一觸即發，柱狀圖連4日收縮(15.13→10.26→2.79)；⭐惟DIF與DEA仍雙雙站在零軸之上、多頭結構未瓦解，零軸才是中期真正分水嶺。KDJ K 41.4/D 59.7/J 4.9——⭐J值已探入超賣區(本年度低於4.9者共10天、前次7/30的-2.9其後8月初反彈)，殺盤動能近尾聲。(7)⚠️⭐韓股8/19崩跌觸發熔斷：KOSPI收6,471.17(-5.80%)、盤中暴跌逾6%觸發Sidecar暫停賣單5分鐘、SK海力士-9.75%收150.0萬韓元、三星-7.82%收24.75萬韓元、日經一度大跌逾2,100點；⭐⭐今晨(8/20)V型強彈：SK+10.67%報166.0萬、三星+6.57%報26.375萬、KOSPI+4.82%報6,783.26(均為盤中價非收盤)。(8)⭐8/19美股大盤止跌但半導體逆勢續跌：S&amp;P500+0.21%收7,707.98、那斯達克+0.16%收26,331.09、VIX-6.00%至14.89、10年期殖利率降約5bps/30年期降約9bps；⚠️惟SOX仍-2.12%收11,738.23(兩日累計-6.99%)——LRCX-6.33%、INTC-4.02%跌破$100、AVGO-4.61%、AMD-3.71%、NVDA-0.99%收$217.56(AI晶片最抗跌)；⭐AAPL逆勢+2.19%收$316.83、QCOM+1.07%。TSM ADR 8/19收$412.09(-0.32%)、跌幅自8/18大幅收斂，兩日累計-4.38%(大於台股同期-2.08%)；ADR溢價自8/17約+14.4%收斂至+11.63%(匯率31.83)，顯示賣壓由ADR端主導、台股相對抗跌。(9)⚠️台股供應鏈全面下跌、記憶體最重：南亞科-6.60%收481、南電-5.22%收1,180、華邦電-4.82%收168、聯電-2.94%、旺宏-2.46%、日月光-1.84%、鴻海-1.61%、欣興-1.31%收1,130、⭐台積電-1.26%相對抗跌、聯發科-1.03%、緯穎-0.39%最抗跌。(10)📊評價隨股價回落：P/E 27.24x(8/18 27.59x、8/17 27.82x)、P/B 9.47x、殖利率0.94%(被動回升)、市值NT$60.9兆(兩日蒸發約1.3兆)，均為115/2基準、口徑無變更；⚠️惟P/E仍位於5年區間約87百分位、遠高於5年均18.5x，評價未進入便宜區間。⭐今日觀察：夜盤TX 202609收44,802(對8/19日盤+274點、對現貨轉正價差+83)、CDF 202609夜盤2,357對現貨轉正價差+7，配合韓股記憶體強彈與美股止跌，指向開高；⚠️惟開高後第一道考驗為2,360(20MA)，上檔2,355/2,360/2,377/2,388/2,392連續反壓，下檔守2,335，最後防線120MA 2,203。⚠️外資是否連3賣為第一順位籌碼訊號。📅8/21蘋果回覆美參議院CXMT/YMTC採購案期限、8/26 NVIDIA財報、8/31 MSCI調整生效。全程TWSE/TAIFEX/Yahoo官方API取數；技術指標依TWSE官方序列2026-01-02~08-19共151筆重算，並回算驗證8/17各值與8/18已發布日報完全一致。⚠️資料缺口聲明：Yahoo之USD/TWD、USD/KRW與KOSPI序列均缺8/19讀數(兩地當日均正常交易)，故匯率採8/18的31.88與今晨8/20的31.83、KOSPI 8/19收盤採媒體報導值。</t>
        </is>
      </c>
      <c r="G109" s="50" t="inlineStr">
        <is>
          <t>Yahoo Finance / Bloomberg</t>
        </is>
      </c>
    </row>
    <row r="110">
      <c r="A110" s="53" t="inlineStr">
        <is>
          <t>2026-08-21</t>
        </is>
      </c>
      <c r="B110" s="53" t="inlineStr">
        <is>
          <t>NT$2,375（8/20收）</t>
        </is>
      </c>
      <c r="C110" s="54" t="inlineStr">
        <is>
          <t>+1.06%（8/20收）</t>
        </is>
      </c>
      <c r="D110" s="53" t="inlineStr">
        <is>
          <t>US$416.00（8/20收）</t>
        </is>
      </c>
      <c r="E110" s="53" t="inlineStr">
        <is>
          <t>16,968（8/20收）</t>
        </is>
      </c>
      <c r="F110" s="55" t="inlineStr">
        <is>
          <t>報告日2026-08-21(Fri)，涵蓋8/20(Thu)收盤。⭐⚠️止跌反彈收最高、外資翻多買超734張，但量縮28%、季線僅差3點未收復：(1)⭐價格面三個止跌訊號成立——8/20官方收NT$2,375(+25、+1.06%、開2,365/高2,375/低2,350、量16,968張、額401.17億、46,361筆)：收盤價=當日最高價(無上影線的強勢收盤)；盤中低2,350恰為8/19收盤、回測前收即獲支撐，8/19低點2,335全日未再受測試；開盤2,365即跳入8/19跳空缺口2,355~2,380之內、終場回補約65%(尚差5點至上緣2,380)。(2)⭐均線失守由「四線」收斂為「三線」：收2,375重新站上20MA 2,358(=布林中軌)，仍在60MA季線2,378(差3點)/5MA 2,380(差5點)/10MA 2,390(差15點)之下，120MA年線2,206安全。⭐⭐2,378~2,390僅12點內擠壓三條均線且5MA 2,380與缺口上緣重合——今日(8/21)只要上漲0.2%即可同時收復季線與5MA並完成缺口回補，為本波回檔以來最接近修復的位置。(3)⭐⭐籌碼面本波最重要反轉：外資由8/19的-7,418張翻為買超+734張(T86官方原始+734,132股)、投信由-668張翻為+399張(8/13以來最大)、自營商-17張(自行-288/避險+271)，三大法人分項加總淨買超+1,116張(官方合計欄換算+1,117張，差1張屬四捨五入正常誤差)。⚠️惟一項矛盾：TAIFEX官方外資台股期貨淨空單自81,501口續增922口至82,423口(多6,959/空89,382)、投信淨多單75,825口、自營淨多單2,019口——外資「現貨回補、期貨加空」可能屬避險配置而非方向性看多，削弱現貨買超的多方訊號。(4)⚠️⚠️本日最大隱憂是量能：16,968張較8/19的23,619張大減28.2%、較5日均量19,046張萎縮10.9%，成交筆數自193,704筆驟降至46,361筆(-76.1%)——「量縮價漲」代表8/19恐慌換手已結束但接手方轉觀望，屬賣壓暫歇而非買盤進場；對照8/13突破時的26,233張放量上攻，本次反彈量能基礎薄弱。(5)⭐相對強弱首度反轉：2330 +1.06%同時優於加權指數+0.48%(收44,933.74)與費半SOX +0.53%(收11,800.02)，為本波回檔以來首見2330領漲(8/19為三項全數落後)；⚠️中期仍落後——5日-2.46%略遜加權-2.36%、20日-1.25%明顯落後加權+0.18%、YTD +49.8%落後加權+53.1%與費半+60.2%(對費半落後幅度自-11.0pp小幅收斂至-10.4pp)。(6)⚠️指標分歧：⭐RSI(14)自47.42回升至49.97重貼50中軸(8/19的跌破僅維持一個交易日)、KDJ的J值自4.91回升至13.15脫離極端超賣(驗證前一日日報判讀)；⚠️⚠️惟MACD柱狀圖連6日收縮至僅+1.10(8/12的+20.94→17.54→15.13→10.26→2.79→1.10、累計收斂94.7%)，且8/20股價上漲+1.06%而DIF反自+4.22降至+3.52(8/18-8/19重挫已透支快線動能)，死叉今日幾乎難以避免；⭐惟DIF+3.52與DEA+2.96雙雙仍在零軸之上，性質為「零軸之上多頭趨勢中的回檔」。(7)⭐⭐記憶體震央止穩是本次反彈最重要的外部支撐：韓股V型強彈——SK海力士+12.73%收169.1萬韓元、三星+9.49%收27.10萬韓元、KOSPI+5.89%收6,852.58並觸發Sidecar(與8/19崩跌-5.80%觸發熔斷相反)；驅動為SK海力士董事會決議買回約2,407萬股(約40.43兆韓元)並全數註銷、三年股東回饋強度自FCF 50%以內上修為50%以上。連帶美光+3.97%收$974.33、台股華邦電+5.06%收176.5、科林研發+1.09%。⚠️惟屬股東回饋題材而非記憶體需求/報價改善，對TSMC為情緒面外溢。(8)⚠️⚠️今晨最重要警訊——夜盤與美股方向與日盤反彈相反：8/20(美東)S&amp;P500 -0.87%收7,641.16、那斯達克-1.00%收26,067.17、VIX+7.52%升至16.01(8月新高區)，市場歸因於財政部擴大長天期公債回購後殖利率反彈、Fed會議紀錄較預期鷹派、觀望下週Fed主席Warsh的Jackson Hole演說；⭐費半SOX逆勢+0.53%，顯示驅動來自利率而非半導體基本面。⚠️台指期夜盤(8/20 15:00→8/21 05:00、列示日期2026/08/21)收44,804(-99對結算價、盤中低44,261一度重挫721點、量41,595口)對現貨逆價差擴大至-130；CDF 202609夜盤收2,373(-3、-0.13%)對現貨2,375翻逆價差-2——與8/19夜盤「開高走高、價差由逆轉正」完全相反，指向今日開盤偏弱或平盤附近。(9)⚠️生態系內部輪動分歧：上漲集中記憶體與設備(SK+12.73%、三星+9.49%、華邦電+5.06%、美光+3.97%、LRCX+1.09%、AMD+0.65%、AVGO+0.43%)，下跌集中AI運算與蘋果鏈(AAPL-1.75%收$311.30、KLAC-0.75%、QCOM-0.72%、INTC-0.72%、NVDA-0.33%收$216.85、ASML-0.08%)。⚠️⚠️兩項須留意：聯發科-3.77%收3,700、自8/14連4跌累計-12.11%(利空為Marvell擴大與Google的AI晶片合作、市場憂流失Google ASIC訂單、投信連12日賣超)；Amkor資料補正後顯示8/18 -10.54%、8/19 -7.20%、三日累計-17.03%為追蹤清單中本波最重(前兩日日報因取數失敗沿用舊值，本報已補正)，ARM同步補正三日-7.63%。(10)⚠️選擇權未平倉重建完成、P/C比恢復參考價值且首見跌破100%：8/20賣權未平倉31,742→54,070口(+70.3%)、買權31,036→54,415口(+75.3%)、合計62,778→108,485口(+72.8%)，P/C未平倉比99.37%(8/18結算前104.64%)為本波首見跌破100%——代表買權未平倉略多於賣權，依反向指標慣例屬情緒轉樂觀但避險保護不足；⭐惟雙邊僅差345口、實質為多空建倉均衡，不宜過度解讀。成交量P/C 111.81%(賣權182,976/買權163,649口)、成交規模自結算日729,967口回歸346,625口正常水位。(11)📊評價位階隨股價回升：P/E 27.53x(8/19 27.24x)、P/B 9.57x(9.47x)、殖利率0.93%(0.94%)、市值NT$61.6兆，財報基準仍為115/2(8/14換基準後未變、各日可比)；⚠️位階仍高(P/E約5年87百分位、P/B約91百分位)，本波回檔未使評價實質下移、評價保護有限。⚠️匯率逆風重啟：新台幣8/20收31.82、跌破8/17-8/18的31.85前低，自8/13的32.12累計升值約0.94%、估構成約-38bps毛利率逆風，將壓抑Q3毛利率指引65-67%上緣。ADR溢價自+11.63%收斂至+11.47%(ADR $416.00、平價$373.19、匯率31.82)。⭐今日觀察：⭐⭐第一順位關卡2,378~2,380(60MA季線+5MA=缺口上緣)，收復須搭配量能回補至19,046張之上否則屬假突破；下檔守2,358(20MA=布林中軌)/2,350/2,335，最後防線120MA 2,206。⚠️外資是否連2買超、期貨淨空單82,423口是否同步減少為第一順位籌碼訊號。⚠️預期MACD今日死叉成立，判讀重點在DIF是否守住零軸(+3.52)而非死叉本身。⚠️⚠️外部事件：今日(8/21美東)為Apple回覆美國參議院「是否採購中國長鑫存儲CXMT/長江存儲YMTC記憶體」的期限(Banks與Schumer等6-7位參議員7/30聯名致函)，截至產製時未查得已回覆；下週Fed主席Warsh的Jackson Hole演說為利率路徑關鍵。⚠️未結案追蹤：寶山F20廠8/17工安事故(承包商工人遭逾500公斤配電盤壓斃、公司已自主停工)之復工與調查進度，8/20-8/21無新報導；台積電官方新聞稿核對至8/21上午止無新發布(最新為8/11 Sony合作案與董事會決議)。📅9/10前公布8月營收——檢核點：Q3指引中位$45.2B換算月均約需NT$4,851億、7月的4,675.81億仍低約3.6%，8-9月需加速。全程TWSE/TAIFEX/Yahoo官方API取數；技術指標依TWSE官方序列2026-01-02~08-20共152筆重算，並回算驗證8/19各值(RSI 47.42、DIF+4.22/DEA+2.83/柱+2.79、K41.41/D59.66/J4.91、MA5 2,392/MA10 2,388/MA20 2,360/MA60 2,377/MA120 2,203、vol_ma5 20,899張)與8/20已發布日報完全一致，確認序列連續無口徑漂移。</t>
        </is>
      </c>
      <c r="G110" s="53" t="inlineStr">
        <is>
          <t>Yahoo Finance / Bloomberg</t>
        </is>
      </c>
    </row>
    <row r="111">
      <c r="A111" s="50" t="inlineStr">
        <is>
          <t>2026-08-24</t>
        </is>
      </c>
      <c r="B111" s="50" t="inlineStr">
        <is>
          <t>NT$2,410（8/21收）</t>
        </is>
      </c>
      <c r="C111" s="51" t="inlineStr">
        <is>
          <t>+1.47%（8/21收）</t>
        </is>
      </c>
      <c r="D111" s="50" t="inlineStr">
        <is>
          <t>US$418.95（8/21收）</t>
        </is>
      </c>
      <c r="E111" s="50" t="inlineStr">
        <is>
          <t>18,922（8/21收）</t>
        </is>
      </c>
      <c r="F111" s="52" t="inlineStr">
        <is>
          <t>報告日2026-08-24(Mon)，涵蓋8/21(Fri)收盤。⭐⭐修復完成：五線全收復、缺口全回補、外資單日狂買5,795張、MACD死叉預期落空——(1)⭐⭐價格與均線：8/21官方收NT$2,410(+35、+1.47%、開2,375/高2,410/低2,365、量18,922張、額452.76億、59,539筆)，連2個交易日收在當日最高價；收盤一舉站上全部五條均線——5MA 2,383(高27點)/10MA 2,394(高16點)/20MA 2,361(高49點)/60MA季線2,380(高30點)/120MA年線2,210(高200點)，均線失守數三日內走完「四線→三線→零線」，並一次攻克前報標定的2,378~2,390三線密集帶、收在其上緣之上20點。⭐8/19跳空缺口2,355~2,380已100%回補(8/20僅約65%)，2,380由壓力翻轉為支撐；低點結構逐日上移(2,335→2,350→2,365)，無一日回測前日低點。(2)⚠️唯一保留是量能且須誠實記錄為「擦邊未達」：18,922張較8/20的16,968張回升11.5%、成交筆數自46,361筆增至59,539筆(+28.4%)，量價同步放大方向正確；但仍低於前報明訂的修復門檻(5日均量19,046張)約0.7%(差124張)。⭐實質應歸類為「溫和放量突破」——與8/20「量縮28.2%的價漲」性質完全不同；⚠️惟明顯不及8/13突破時的26,233張爆量，不足以認定趨勢行情啟動。⚠️另注意vol_ma5已自19,046張降至18,598張，係高量的8/13移出計算窗(窗口效應、非量能萎縮)，今日判定量能應沿用19,046張原門檻，勿讓標準被動放寬。(3)⭐⭐籌碼面為本日最強訊號且內部矛盾正在消解：外資及陸資買超2330達+5,795張(T86官方原始+5,795,046股)，為8/20的+734張的7.9倍、亦是追蹤區間(8/13以來)最大單日買超(超越8/14的+4,442張)；投信+292張(連2買)、自營商+457張(自行+407/避險+50、由-17張翻多)，⭐三大法人首見同步買超、分項加總淨買超+6,544張(與官方合計欄換算一致)。⭐⭐更關鍵的質變在期貨：TAIFEX官方外資台股期貨淨空單自82,423口僅續增171口至82,594口(多6,735/空89,329)，而8/20增幅為922口(減緩81%)——現貨買超放大7.9倍、期貨加空縮小5.4倍，隱含避險比例大幅下降，代表外資買盤性質由8/20的「避險性配置」轉向「方向性看多」，前報所要求的驗證條件獲實質改善；⚠️保留：淨空單絕對水位82,594口仍高、尚未轉為減少，確認仍不完整。投信淨多單76,316口、自營淨多單1,699口。(4)⭐⭐指標三項同步轉正，MACD死叉預期落空為本日最大意外——誠實對照：前一日日報明確預期「MACD死叉在今日幾乎難以避免」，實際結果為該預期未實現且方向完全相反。柱狀圖自+1.10擴張至+4.40(+300%)、終結連6日收縮；DIF自+3.52回升至+5.72、DEA自+2.96緩升至+3.51，兩線距離自0.56點重新擴大至2.21點，多頭排列反而強化。⭐機制：+1.47%(35點)的實體長紅足以拉抬快線EMA12，滿足前報所設的保留條件(「除非出現大幅跳空上漲」——雖非跳空，長紅已足夠)。⭐RSI(14)自49.97站上53.38(完成「跌破→回抵→站上」三步修復，RSI(6)達58.61、RSI(12)53.93)；⭐KDJ的J值自13.15暴升至44.14、K值39.73→49.21、K-D負乖離自-13.29點收斂至僅-2.54點(黃金交叉只需今日收平盤以上即成立，較前報推估的2-3個交易日大幅提前)。⚠️保留：柱狀圖+4.40僅為8/12的+20.94的21%，動能已轉向但強度未回到8月初水準。布林2,488/2,361/2,234(標準差63.4)。(5)⭐⭐相對強弱雙重反轉且為「逆勢領漲」：1日——2330 +1.47%同時優於加權指數+0.65%(收45,224.29)與費半SOX -0.51%(收11,740.37)，連2日領漲，且本次SOX是下跌的、2330屬逆勢領漲，強度高於8/20的同向領漲；5日——2330 +0.63%首度優於加權-1.28%，領先1.91個百分點，終結8月中旬以來的5日落後格局。⚠️中期落後未完全扭轉：20日+2.55%仍落後加權+3.60%(-1.05pp、自-1.43pp收斂)、YTD +52.1%落後加權+54.1%與費半+59.4%；⭐對費半YTD落後幅度自-10.4pp大幅收斂至-7.3pp，「權值股落後大盤」格局首度實質鬆動。⭐ADR TSM收$418.95(+0.71%、自我檢核416.00×1.0071=418.95✓)、連3日收高；溢價自+11.47%明顯收斂至+10.46%(本波最大單日收斂、平價$379.29、匯率31.77)，反映本地買盤力道首度超越海外資金，屬健康現象。(6)⭐週末前最後一段夜盤(8/21 15:00→8/22 05:00、TAIFEX列示交易日期2026/08/24)轉為正面，但個股期與指數期分歧：⭐台積電個股期CDF 202609夜盤收2,413(+4、+0.17%、開2,413/高2,423已超越日盤高點2,410/低2,405、量1,621口)，對現貨2,410由日盤逆價差-1翻為正價差+3，與8/20夜盤「開平走弱、價差由正轉逆」完全相反，指向今日台積電開盤偏強；⚠️惟台指期TX 202609夜盤開45,220/高45,474/低44,978/收45,074(-64對結算價、量30,890口)，自高點回落400點作收、對現貨逆價差擴大至-150。⭐⭐此「個股期強、指數期弱」與美股8/21型態完全一致(TSM ADR +0.71%逆勢收紅、費半-0.51%收黑、S&amp;P500 +0.43%收7,674.37、那斯達克+0.43%收26,180.46、VIX回落至15.13/-5.50%)，共同指向資金在半導體族群內部向代工龍頭集中而非全面性風險偏好回升——對2330個股偏正面、對台股大盤中性。CDF日盤收2,409(+33、+1.39%、量5,060口、未平倉26,630口)對現貨2,410為逆價差-1(僅1點、實質平價)。TX日盤收45,148(+245、+0.55%、量51,446口、未平倉102,342口)對現貨45,224.29為逆價差-76。(7)⚠️⚠️本週主導變數已由技術面轉為事件面——NVIDIA 8/26(週三)公布Q2 FY27財報(市場預期營收$93-95B、EPS $0.65-0.68)，其指引將直接檢核AI加速器與先進封裝需求是否延續。⭐供應鏈訊號：執行長黃仁勳已於8/23(週日)搭私人專機抵台(2026年第3次訪台)，市場推測係財報前與台積電等核心供應鏈閉門會議、敲定次世代AI晶片產能配置、CoWoS先進封裝配額與伺服器報價(⚠️會議內容與議題均屬市場推測、NVIDIA未回應；去年8/22亦有相同型態的財報前訪台)。TrendForce估TSMC CoWoS月產能2026年可擴至12-14萬片、加計委外夥伴5-6萬片後接近20萬片，惟HBM與CoWoS產能仍緊。⚠️⚠️背離警訊：NVDA股價8/21續跌-0.98%收$214.72、已連4日收黑(自8/17累計-4.57%)，財報前市場態度明顯保守，而2330卻連2日大漲——代表2330已提前反映樂觀預期，若財報或指引不如預期，回吐風險相對較高。⚠️判讀紀律：本週技術訊號的參考權重應調降、事件結果權重應提高。(8)⭐定價權題材強化、可部分抵銷匯率逆風：路透於8/19前後報導三星已自7月起將部分代工報價調升至多15%(以4奈米SF4為主、中國與美國客戶調幅10-15%)，市場分析直指主因為AI需求令台積電先進製程產能飽和、客戶「無處可去」而回流三星(台積電Q1全球代工營收市占逾70%、三星約7%)；另有報導指台積電規劃明年先進製程調價約10%、HPC訂單若超出需求預測將再加10-15%。⭐台積電並自陳對記憶體廠毛利率「感到羨慕」但明確限制自身漲幅，理由是客戶無法承受4-5倍漲價(記憶體廠Q1即調價65-90%)，顯示以客戶關係穩定性換取長期訂單能見度。⚠️對沖關係：定價權效益需與匯率逆風相抵。(9)⚠️⚠️評價位階警訊——回檔對評價的修正效果已被兩日反彈完全抵銷：8/21 TWSE官方BWIBBU顯示P/E 27.94x(8/20為27.53x)、P/B 9.72x(9.57x)、殖利率0.91%(0.93%)、市值約NT$62.5兆，財報基準仍為115/2(8/14換基準後未變、各日可比)。⚠️位階各上移1個百分位至P/E約5年88百分位、P/B約92百分位——意即8/17-8/19的三日回檔並未留下任何評價折讓，修復完成後評價保護反而比回檔前更薄。⭐PEG 0.82低於1仍為主要辯護理由；⚠️惟其分母(FY26 EPS成長率)高度依賴AI需求延續，若NVIDIA 8/26財報下修展望，PEG辯護力將同步減弱——本週評價面最大單一風險。⚠️匯率逆風續增：新台幣8/21收31.77(創8月新高)，自8/13的32.12累計升值約1.09%、依官方口徑(每升值1%約-40bps)估構成約-44bps毛利率逆風(8/20估-38bps)，將壓抑Q3毛利率指引65-67%上緣。⚠️匯率口徑例外：Yahoo TWD=X日線序列缺漏8/21該筆，改以同來源逐時序列取8/21 16:00(台北收盤時點)讀數31.77，與前一日採日線的31.82口徑略有差異，正式值請以央行/台北外匯經紀公司公告為準；⚠️故31.82→31.77的0.16%變動幅度存在口徑誤差，方向(續升值)則明確。⚠️⚠️尚未被股價反映的落差：股價創本波反彈新高(2,410)與匯率創本波升值新高(31.77)同時發生。(10)⚠️選擇權P/C比判讀紀律本報作出重要修正：前一日日報曾判定「8/20起P/C比恢復參考價值」，本報依8月完整官方序列複核後必須更正——TAIFEX未平倉序列顯示8月每逢週三「與週五」雙邊未平倉均大幅結清(8/5 94,288→58,701、8/7 79,558→59,446、8/12 102,705→60,479、8/14 82,705→65,051、8/19 93,656→31,742、8/21 54,070→35,710共6次)，呈現週三、週五各有一次到期結算的規律，代表台指選擇權週別合約在週三與週五皆有到期日。⚠️因此8/21(週五)雙邊未平倉自108,485口驟降至70,119口(賣35,710/買34,409、-35.4%)屬到期結算的機械效果、非籌碼撤離，其P/C未平倉比103.78%與8/20的99.37%並非同一基數、不可直接比較方向。⭐可確立者：賣權未平倉重新多於買權1,301口、比率回到100%之上，代表結算後新建倉略偏避險，與同日現貨大漲+1.47%並不矛盾(上漲中買保險屬理性)。⭐新紀律：P/C未平倉比僅在週一、週二、週四具跨日可比性；週三與週五的讀數只看絕對水位(100%為分界)、不看變化幅度。成交量P/C 110.65%(賣權358,085/買權323,629口)、總成交681,714口為8/19結算日以來次高，符合結算日放量特徵。(11)⚠️生態系內部分化擴大：⭐上漲者集中代工與部分客戶/記憶體(2330 +1.47%、三星+3.87%收28.15萬韓元創本波新高、華邦電+2.55%收181.0、聯發科+2.43%收3,790終結連4跌、SK海力士+2.31%收173.0萬韓元續創新高、AVGO +1.21%、LRCX +1.12%、AMD +0.81%、ASML +0.77%、QCOM +0.01%)；⚠️下跌者集中設備、封測與AI運算(ARM -2.95%收$243.32創新低、INTC -2.24%收$90.07連4跌、AMKR -1.18%收$50.26連4跌、KLAC -1.01%連4跌、NVDA -0.98%連4跌、AMAT -0.78%、MU -0.77%、AAPL -0.63%、3711日月光-0.51%)。⚠️⚠️三項須留意：AMAT距2年高點已達-20.4%正式跌破熊市門檻；KLAC距2年高點-39.0%為修正最深設備股、與AMAT同步走弱值得留意是否預示先進製程資本支出實質放緩；AMKR自8/17累計-18.01%仍為追蹤清單中本波最重且完全未受8/20-8/21反彈帶動。⭐封測疲弱(日月光、AMKR)顯示市場對後段封裝疑慮未解，若NVIDIA財報確認CoWoS吃緊則有補漲空間。(12)📅事件與未結案追蹤：⚠️Apple回覆美國參議院「是否採購中國長鑫存儲CXMT/長江存儲YMTC記憶體」的期限已於8/21(美東)屆至(Banks、Schumer、Crapo、Shaheen、Kim、Risch、Ricketts等7位參議員7/29聯名致函，要求說明測試/驗證現況、涉及產品線與記憶體類型、與美國官方討論情形)，⚠️截至本報產製時查無Apple已回覆或回覆內容的公開報導，列為「未能證實」而非「已確認未回覆」；Apple約占TSMC營收17%，本案聚焦記憶體、不直接觸及邏輯代工。⭐寶山F20工安事故(8/17下午22歲承包商工人搬運逾500公斤配電盤時遭壓斃)新增查證：業界分析指台積電廠區建造順序為CUP控制中心/SUP支援中心→Fab晶圓製造與無塵室→最後才是辦公棟，依現有官方回應停工僅涉辦公棟相關作業，故評估不影響晶圓廠建置進度與2奈米量產時程；⚠️惟8/22-8/24查無復工時程或勞檢調查結果，仍列未結案。⭐台積電官方新聞稿核對至8/24上午止無新發布(最新仍為8/11的董事會決議與Sony影像感測器合資案)。⭐面板廠跨入先進封裝：TPK宸鴻8/21法說會宣示跨入半導體第二隻腳、鎖定AI高階ASIC所需封測玻璃鑽孔(TGV)技術；群創投入扇出型面板級封裝(FOPLP)並傳出與台積電合作開發高階封裝(⚠️屬傳聞、未經台積電證實)——玻璃基板與面板級封裝被視為CoWoS之後的下一代路徑，惟技術成熟度與導入時程尚早，短期財務影響可忽略。📅9/10前公布8月營收——檢核點：Q3指引中位$45.2B換算月均約需NT$4,851億、7月的4,675.81億仍低約3.6%，8-9月需加速。⭐綜合研判：由「中性」上調至「中性偏多」——技術面與籌碼面的修復證據已足以支持偏多，但量能未達標(擦邊0.7%)與高評價位階(P/E約88百分位)使其不足以升至「看多」。今日(8/24)判定標準：守住2,380(由壓力翻轉的支撐)＝突破有效性確立、可期待挑戰2,435(8/14收盤)；帶量(&gt;19,046張)攻克2,435＝趨勢行情確認；跌破2,380並回落至2,361的20MA之下＝突破失敗、視為假突破。上方壓力2,435/2,470/2,488/2,535，下檔支撐2,380/2,365/2,361/2,350/2,234/2,210。全程TWSE/TAIFEX/Yahoo官方API取數；技術指標依TWSE官方序列2026-01-02~08-21共153筆重算，並回算驗證8/20各值(RSI 49.97、DIF+3.52/DEA+2.96/柱+1.10、K39.73/D53.02/J13.15、MA5 2,380/MA10 2,390/MA20 2,358/MA60 2,378/MA120 2,206、布林2,483/2,358/2,233、vol_ma5 19,046張)與8/21已發布日報完全一致，確認序列連續、無口徑漂移。</t>
        </is>
      </c>
      <c r="G111" s="50" t="inlineStr">
        <is>
          <t>Yahoo Finance / Bloomberg</t>
        </is>
      </c>
    </row>
    <row r="112">
      <c r="A112" s="53" t="inlineStr">
        <is>
          <t>2026-08-25</t>
        </is>
      </c>
      <c r="B112" s="53" t="inlineStr">
        <is>
          <t>NT$2,375（8/24收）</t>
        </is>
      </c>
      <c r="C112" s="56" t="inlineStr">
        <is>
          <t>-1.45%（8/24收）</t>
        </is>
      </c>
      <c r="D112" s="53" t="inlineStr">
        <is>
          <t>US$410.12（8/24收）</t>
        </is>
      </c>
      <c r="E112" s="53" t="inlineStr">
        <is>
          <t>13,073（8/24收）</t>
        </is>
      </c>
      <c r="F112" s="55" t="inlineStr">
        <is>
          <t>報告日2026-08-25(Tue)，涵蓋8/24(Mon)收盤。⚠️⚠️突破失敗：2,380支撐驗證未過、全年最低量長黑、外資翻空賣超1,621張、費半正式落入熊市——(1)⚠️⚠️價格與型態：8/24官方收NT$2,375(-35、-1.45%、開2,410/高2,410/低2,375、量13,073張、額312.35億、84,694筆)。本日最具辨識度的事實是開盤價＝當日最高、收盤價＝當日最低，形成實體35點且全無上下影線的「光頭光腳長黑K」——本報以TWSE官方序列複核2026-01-02以來全部154個交易日，這是今年唯一同時滿足此兩條件的交易日，代表買方全日未曾取得任何主動權；且該型態緊接在8/20、8/21連2日「收盤＝最高」的強勢型態之後，反轉之急促本身即為警訊。低點結構亦轉弱：8/19以來逐日上移的承接位階(2,335→2,350→2,365)於本日中斷。(2)⚠️⚠️突破失敗必須明確記錄，本報有義務對照前一日日報的預設條件：前報將「2,380的支撐驗證」列為今日第一順位檢核，並明文寫出雙向判準——回測不破則8/21突破有效性確立、可期待挑戰2,435；反之跌破2,380並失守2,361(20MA＝布林中軌)即應視為假突破。實際結果：8/24收2,375，低於2,380達5點，第一順位檢核未通過、突破失敗；⭐但完整的「假突破」判準並未同時成立，因20MA 2,362.5仍守住(收盤高於其12.5點)。均線面：收盤重新失守5MA 2,378(-3點)/10MA 2,393(-18點)/60MA季線2,381.5(-6.5點)三條，僅守住20MA 2,362.5與120MA年線2,213.1(+162點)——均線失守數自8/21的「零線」倒退為「三線」，等同退回8/20狀態，兩日修復被單日抹除。8/19跳空缺口2,355~2,380由「完全回補」退回「上緣得而復失」，收盤重新落入缺口區間之內。(3)⚠️⚠️量能改寫全年最低：13,073張較8/21的18,922張萎縮30.9%，並改寫2026年全年最低量紀錄——本報已複核全部154個交易日，13,073張為最低，前低為8/17的13,482張、第三低為8/20的16,968張；僅為5日均量18,516張的71%。⚠️值得注意的分歧：成交筆數自59,539筆增至84,694筆(+42.2%)而張數大減30.9%，每筆平均張數自0.318張腰斬至0.154張，是「散單增加、大單縮手」的典型特徵，與外資由買轉賣互相印證。⭐判讀上的平衡：全年最低量的長黑，殺盤力道其實有限(無恐慌性拋售)，屬「買盤退場」而非「賣壓湧現」；⚠️但也意味著8/21的突破自始就缺乏成交量基礎——前報已標記該日量能以0.7%之差未達門檻，今日結果讓該項保留事後看來是關鍵警訊。(4)⚠️⚠️籌碼面由本波最強反轉為賣超，惟力道相對溫和：外資及陸資賣超2330達-1,621張(T86官方原始-1,620,725股)，終結8/20-8/21連2買，與前一日+5,795張的本波最大買超形成劇烈反轉(單日擺盪達7,416張)。投信+157張(連3買、力道自+292張再減弱)、自營商-23張(自行-6/避險-17、由+457張翻空)，三大法人分項加總淨賣超-1,487張(與官方合計欄換算一致，均為-1,487)。⭐相對正面：外資賣超-1,621張僅為8/19賣超-7,418張的22%，也遠小於前一日買超規模，屬獲利了結而非調節出場。⭐⭐期貨端出現本報追蹤以來首見的方向性改善：TAIFEX官方外資台股期貨淨空單自82,594口「減少」65口至82,529口(多6,842/空89,371)——這是8/13以來首次由增轉減，正是前兩份日報反覆要求的驗證條件；⚠️惟減幅僅0.08%、絕對水位仍在82,529口高位，且與現貨轉賣方向相反，訊號強度不足以構成反轉確認，只能記為「空方加碼動能停止」。投信淨多單75,808口(8/21為76,316口、減508口)、自營淨多單2,315口(8/21為1,699口、增616口)。(5)⚠️⚠️指標三項同步轉弱，且前一日的兩項預期皆落空、本報誠實對照：其一，前報預期「KDJ黃金交叉只需今日收平盤以上即可成立」，實際下跌1.45%，交叉未成立且負乖離反而擴大——K自49.21降至44.93、D自51.75降至49.48、K-D負乖離自-2.54點擴大至-4.55點(擴大79%)、J自44.14回落至35.84。其二，前報以「MACD死叉預期落空、紅柱擴張4倍」為當日最重要正面訊號，本日該項改善幾乎全數回吐——柱狀圖自+4.40收縮至+1.71(-61.1%)，僅一個交易日就退回接近8/20的+1.10水位；結構上更值得警惕的是兩線走向已分歧：DIF自+5.72回落至+4.58(-1.14)而DEA自+3.51續升至+3.73(+0.22)，快線下行、慢線上行，兩線距離自2.21點壓縮至0.85點(-61.5%)。⚠️⚠️推估：若今日(8/25)再收黑，DIF續降而DEA因落後效應仍將緩升，死亡交叉成立機率高；反之若收紅約1%以上，快線可望重新上彎、死叉再度遞延。其三，RSI(14)自53.38回落至49.73重新跌破50中軸，RSI(6)自58.61急降至47.36(-11.25點、跌幅遠大於RSI(14))。⭐保留：三項指標絕對位置均在中性帶、未進入超賣，柱狀圖仍為正值(+1.71)、DIF仍在零軸之上(+4.58)，MACD尚未構成空頭排列，目前僅能定性為「多方動能快速衰竭」而非「轉空」。布林2,489/2,363/2,236。(6)⚠️相對強弱短線轉弱、中期落後未改，惟5日仍領先：1日——2330 -1.45%落後加權指數-1.02%(收44,762.32、-461.97點、額6,562.81億)達0.43個百分點，終結連2日領漲；⭐惟明顯抗跌於費半SOX的-2.70%。5日——2330 -1.04%仍優於加權-2.39%，領先1.35個百分點，⭐8/21建立的5日領先格局本日得以維持，是唯一未惡化的維度。20日——2330 +1.06%落後加權+2.59%(-1.53pp、自-1.05pp再擴大)。YTD——2330 +49.8%落後加權+52.5%與費半+55.1%；⭐對費半YTD落後幅度自-7.3pp續收斂至-5.3pp，⚠️惟本次收斂完全來自費半自身重挫而非2330走強，屬「相對抗跌」而非「相對強勢」，不應視為正面訊號。⭐ADR TSM收$410.12(-2.11%、-$8.83；雙重自我檢核418.95-8.83=410.12✓、418.95×(1-2.11%)=410.11✓；另經stockanalysis.com獨立確認收盤$410.12/-2.11%/前收$418.95)；盤後20:00 ET最終讀數$409.48(-0.16%)、跌勢未再擴大。溢價自+10.46%續收斂至+9.93%(本波首度跌破10%、平價$373.08、匯率31.83)，⚠️惟本次收斂成因與8/21相反：8/21是「台股漲幅大於ADR」的健康收斂，本次則是「ADR跌幅大於台股」的被動收斂，不應視為正面訊號。(7)⚠️今晨夜盤(8/24 15:00→8/25 05:00、TAIFEX列示交易日期2026/08/25)延續弱勢，但個股期跌幅明顯小於指數期：台指期TX 202609夜盤開44,658/高45,015/低44,270/收44,532(對8/24結算價44,740為-208、量32,394口)，對現貨44,762.32逆價差擴大至-230；⭐台積電個股期CDF 202609夜盤開2,386/高2,398/低2,363/收2,382(-3、量1,342口)，跌幅僅0.13%且對現貨2,375維持正價差+7。⭐⭐「個股期抗跌、指數期弱」與日盤「2330 -1.45%抗跌於SOX -2.70%」的結構完全一致，共同指向本波賣壓集中於記憶體與其他半導體次族群而非代工龍頭——對2330個股偏中性、對台股大盤偏空。⚠️惟夜盤低點2,363已一度觸及20MA 2,362.5附近，該價位今日仍是關鍵。日盤：CDF 202609收2,384(-25、-1.04%、開2,410/高2,412/低2,380、量3,320口、結算價2,385、未平倉26,755口)對現貨2,375為正價差+9(8/21為逆價差-1)——⭐現貨收在全日最低而個股期仍收在其上9點、日盤低點2,380高於現貨收盤，代表期貨市場對台積電的評價略高於現貨賣壓所反映的水準，是本日少數偏正面的細節。TX 202609日盤收44,762(-376、-0.83%、量43,046口、未平倉102,558口)對現貨44,762.32幾乎平價(-0.32點)。(8)⚠️⚠️外部環境是本日跌勢主因，且來源明確為記憶體族群而非台積電基本面：8/24美股半導體全面重挫，費半SOX收11,423.17(-2.70%、盤中最低11,263.34達-4.06%)，⚠️⚠️距52週高點14,655.29(2026-06-22盤中高、收盤高為同日14,634.72)已達-22.1%，依-20%的通行定義正式落入熊市(本報以2年日線序列獨立複核)。⚠️部分媒體引用-3.5%跌幅，本報查證後判定係盤中讀數、官方收盤跌幅為-2.70%。⭐導火線可明確歸因：三星電子8/21公布2026年股東回饋計畫90-110兆韓元(約650-790億美元、為前次紀錄約5倍)，但因未同步宣布庫藏股註銷、亦未上修既有回饋政策而令市場失望，三星8/24單日崩跌-8.70%收25.70萬韓元——屬「治理面失望」而非基本面惡化(三星營收成長57.3%、淨利306.7億美元)。⭐對照組：SK海力士已於8/20宣布40兆韓元庫藏股買回並全數註銷、承諾2025-2027自由現金流50%以上回饋股東，8/24僅跌-3.41%收167.1萬韓元，屬典型的相對價值懲罰。記憶體族群連鎖下殺：美光MU -5.83%收$910.43(盤中最低$887.60達-8.19%，另有Netlist專利訴訟利空)。半導體其他次族群同步走弱：AMD -3.49%、INTC -3.12%(跌破$90、自8/17累計-15.68%)、AVGO -2.63%、SMCI -5.56%、AMKR -4.70%(跌破$50、自8/17累計-21.86%為追蹤清單本波最重)、ONTO -3.55%、TER -2.88%、ARM -1.87%。⭐關鍵區別：美股大盤僅小跌(S&amp;P500 -0.28%收7,652.86、那斯達克-0.76%收25,980.19、VIX回升至15.85/+4.76%)，且AAPL +0.32%、MSFT +0.84%、GOOGL +0.94%、META +1.66%均收紅——本次為明確的「半導體族群性」賣壓，非系統性風險事件，對台積電基本面並無新增負面資訊。(9)⚠️⚠️明日(8/26週三)NVIDIA公布Q2 FY27財報，是本週決定性變數，市場態度已明顯轉為防禦：市場預期營收$93-95B(約+96% YoY)、EPS $0.65-0.68，其資料中心營收與下季指引將直接檢核AI加速器與CoWoS先進封裝需求是否延續。⚠️⚠️NVDA股價8/24續跌-2.91%收$208.48，已連續7個交易日收黑(本報以2年日線序列複核確認)，自8/13的$224.09累計-6.96%，距52週高點$235.74(2026-05-14收盤史高)為-11.6%——財報前連7黑代表市場在高預期下選擇先行減碼。⭐供應鏈訊號仍偏正面：黃仁勳8/23(週日)搭私人專機抵台、8/24仍在台停留(2026年第3次訪台、亦是連續第2年在8月底財報前訪台)，市場推測係與台積電等核心供應鏈閉門會議，敲定次世代AI晶片產能配置與CoWoS配額(⚠️會議內容屬市場推測、NVIDIA與台積電均未證實)；另有報導指次世代AI伺服器因記憶體成本上升將調漲逾15%，顯示終端漲價的傳導鏈仍暢通。⚠️判讀紀律：明日財報結果的權重應顯著高於今日的技術訊號，今日不宜依技術面單獨做方向性結論。(10)⭐選擇權P/C比首度跌破100%：8/24(週一)P/C未平倉比95.81%(賣權未平倉50,982口、買權53,212口)，買權首度多於賣權2,230口、跌破100%的多空分界，為本報追蹤區間內首見。⚠️依本報已確立的判讀紀律(台指選擇權週三與週五皆有到期結算，P/C未平倉比僅在週一、週二、週四具跨日可比性)，8/24為週一、其讀數本身不是結算重建期產物；⚠️惟其前一日8/21為週五結算日，故95.81%與8/21的103.78%分屬不同基數，變化幅度仍不宜直接比較，只能比較絕對水位。⭐依反向指標慣例，比率跌破100%代表避險需求降溫；⚠️但須與現貨走勢並讀——當日現貨大跌而避險需求反而降溫，較可能反映結算後新倉尚未完整建立、以及投資人在NVIDIA財報前雙邊都不積極布局的觀望，而非真正樂觀。雙邊未平倉合計104,194口較8/21的70,119口回升48.6%(結算後正常重建)，仍遠低於8/18的183,156口。成交量P/C 106.18%(賣權116,587/買權109,801口)、總成交226,388口較8/21結算日的681,714口大減66.8%，符合結算日隔日的量能回落特徵。(11)⚠️評價位階小幅回落但保護仍薄：8/24 TWSE官方BWIBBU顯示P/E 27.53x(8/21為27.94x)、P/B 9.57x(9.72x)、殖利率0.93%(0.91%)、市值約NT$61.6兆，財報基準仍為115/2(8/14換基準後未變、各日可比)。⭐一項可作為口徑正確性旁證的巧合：本日三項數值與8/20完全相同，因兩日收盤價同為2,375。⚠️位階自8/21各回落約1個百分位至P/E約5年87百分位、P/B約91百分位——意即8/24的長黑僅讓評價回到8/20的位置，仍在5年區間極高檔，自8/17起算的整段回檔至今並未提供任何實質評價折讓。⭐PEG 0.82低於1仍是主要辯護理由；⚠️⚠️惟其分母(FY26 EPS成長率)高度依賴AI需求延續，明日NVIDIA財報若下修展望，PEG辯護力將同步減弱——本週評價面最大單一風險，且檢驗時點就在明日。⭐匯率逆風小幅緩解(本日少數偏正面的基本面變化)：新台幣8/24收31.83，自8/21的31.77回貶約0.19%，終結自8/13起的連續升值；相對8/13的32.12累計升值幅度自1.09%縮小至0.90%，依官方口徑(每升值1%約-40bps)估算，毛利率逆風自約-44bps縮小至約-36bps。⚠️惟單日回貶幅度甚小(0.19%)且僅一個交易日，尚不足以認定升值趨勢已扭轉。(12)⚠️生態系內部分化：⭐僅3檔收紅——3711日月光+0.85%收592.0(逆勢收紅、為唯一收紅的半導體供應鏈台股，與8/21的落後形成反轉，可能反映資金在族群內部由記憶體轉向後段封測)、AAPL +0.32%收$310.34(客戶族群中唯一累計收紅者、自8/17累計+1.55%)、以及美股非半導體的MSFT/GOOGL/META。⚠️下跌者：三星-8.70%(全球追蹤清單跌幅最重)、MU -5.83%、AMKR -4.70%、AMD -3.49%(客戶族群跌幅最重)、000660 SK海力士-3.41%、INTC -3.12%、SOX -2.70%、AVGO -2.63%、2344華邦電-2.21%收177.0、ARM -1.87%、AMAT -1.65%(距2年高點-21.7%續處熊市)、2330 -1.45%、QCOM -1.38%、ASML -1.34%、KLAC -1.32%(距2年高點-39.8%仍為修正最深設備股)、LRCX -1.22%、2454聯發科-0.66%收3,765。⭐設備四雄跌幅(-1.22%~-1.65%)均明顯小於SOX的-2.70%，屬相對抗跌。(13)📅資料口徑與缺口聲明：全程TWSE/TAIFEX/Yahoo官方API取數，ADR另經stockanalysis.com交叉確認。⚠️匯率採Yahoo TWD=X逐時序列8/24 16:00台北收盤時點讀數31.83(日線序列缺漏該筆)，與前一日同法取得的8/21 31.77口徑一致、可直接比較，正式值請以央行/台北外匯經紀公司公告為準。⚠️Yahoo的KOSPI指數(^KS11)日線序列缺漏8/24該筆，但同市場個股(三星005930.KS、SK海力士000660.KS)8/24 K棒均存在，判定為Yahoo指數序列自身缺漏而非南韓休市，故本報韓國部分僅引用個股收盤、不引用當日KOSPI指數點位。技術指標依TWSE官方序列2026-01-02~08-24共154筆重算，並回算驗證8/21各值(RSI(14) 53.38、RSI(6) 58.61、DIF+5.72/DEA+3.51/柱+4.40、K49.21/D51.75/J44.14、MA5 2,383/MA10 2,393.5/MA20 2,361.25/MA60 2,380.17/MA120 2,209.75、vol_ma5 18,598張)與8/24已發布日報完全一致，確認序列連續、無口徑漂移。⭐綜合研判：由「中性偏多」下調至「中性偏空」——突破失敗、量能創全年新低、外資翻空、三項技術指標同步回頭，修復進度退回8/20狀態；但這是一次「買盤退場」而非「賣壓潰堤」的下跌(全年最低量、外資賣超僅為8/19的22%、20MA守住、CDF夜盤守住正價差、2330抗跌於費半)，且跌勢主因來自三星股東回饋失望所引爆的記憶體族群殺盤，與台積電基本面無直接關聯。⚠️⚠️現階段技術面參考價值應主動調降：明日(8/26)NVIDIA Q2 FY27財報才是決定本波方向的變數。今日(8/25)判定標準：守住2,362.5(20MA＝布林中軌)＝本波仍屬2,335-2,435區間震盪；失守則8/19低點2,335成為下一測試目標；連續2日站回2,380之上＝修復重啟。上方壓力2,378/2,380/2,393/2,410/2,435，下檔支撐2,363/2,355/2,350/2,335/2,236/2,213。</t>
        </is>
      </c>
      <c r="G112" s="53" t="inlineStr">
        <is>
          <t>Yahoo Finance / Bloomberg</t>
        </is>
      </c>
    </row>
    <row r="113">
      <c r="A113" s="50" t="inlineStr">
        <is>
          <t>2026-08-26</t>
        </is>
      </c>
      <c r="B113" s="50" t="inlineStr">
        <is>
          <t>NT$2,400（8/25收）</t>
        </is>
      </c>
      <c r="C113" s="51" t="inlineStr">
        <is>
          <t>+1.05%（8/25收）</t>
        </is>
      </c>
      <c r="D113" s="50" t="inlineStr">
        <is>
          <t>US$417.41（8/25收）</t>
        </is>
      </c>
      <c r="E113" s="50" t="inlineStr">
        <is>
          <t>13,538（8/25收）</t>
        </is>
      </c>
      <c r="F113" s="52" t="inlineStr">
        <is>
          <t>報告日2026-08-26(Wed)，涵蓋8/25(Tue)收盤。⭐⭐反轉成立：先破底再收最高、五線全數收復、KDJ黃金交叉補上，惟量能仍居全年第3低、外資連2日賣超——(1)⭐⭐價格與型態：8/25官方收NT$2,400(+25、+1.05%、開2,355/高2,400/低2,350、量13,538張、額321.30億、57,334筆)。本日最具辨識度的事實是收盤價＝當日最高價，且為跳空低開(開2,355、較前收2,375低20點)後全程收復，形成實體45點、下影線5點、完全無上影線的長紅「破底翻」——與8/24「開盤價＝最高、收盤價＝最低」的光頭光腳長黑構成完整鏡像反轉。低點結構的關鍵細節：盤中低2,350恰為8/19收盤價與8/20盤中低所在，該價位在6個交易日內第2次獲得承接並拉出長紅，由「參考價位」升格為實質支撐；8/19波段低2,335全程未被測試。全日振幅50點(2.11%)大於8/24的35點，代表多空交戰強度提高而非單向縮量。(2)⭐⭐前一日日報所訂檢核條件全數翻正，本報有義務逐條對照：前報將「20MA／布林中軌2,362.5的防守」列為第一順位，並訂出「須連續2日站回2,380之上才可視為修復重啟」。實際結果：8/25盤中低2,350曾下破20MA達12.5點，但收盤2,400不僅收復2,362.5，更一舉越過2,380驗證位與全部五條均線(5MA 2,382/10MA 2,394/20MA 2,369/60MA 2,382/120MA 2,217)——第一順位檢核通過、8/24的突破失敗在隔一個交易日即被修復；⚠️惟「連續2日站穩2,380」僅完成第一天，8/26收盤才是真正的判定日，本報不提前宣告修復完成。8/19跳空缺口2,355~2,380由「上緣得而復失」重回「完全回補」。(3)⚠️⚠️唯一未改善的是量能，必須明確標示而非淡化：13,538張為2026年155個交易日中第3低(本報已以TWSE官方序列複核全年，最低為8/24的13,073張、次低為8/17的13,482張)，較5日均量17,224張少21.4%。⭐量能結構略見改善：成交筆數自84,694筆降至57,334筆(-32.3%)，每筆平均張數自0.154張回升至0.236張，屬「散單退場、大單略回」，方向與8/24的「散單增加、大單縮手」相反。⚠️但整體參與度仍極低，無量上漲的可靠度本質上有限——這是本次反轉最主要的瑕疵；⭐平衡的另一面是全年第3低量能同時意味8/24的長黑並未引出真實賣壓，跌不下去與漲不上去同時成立。(4)⚠️籌碼面分歧為第二項保留意見：外資及陸資連2個交易日賣超2330(8/25 -1,151張、T86官方原始-1,151,127股；8/24 -1,621張，2日合計-2,772張)，與價格反轉方向完全相反；⭐反向的是投信買超658張——為近5個交易日最大單日買超(近5日：-668/+399/+292/+157/+658)，自營商亦買超475張(自行+37,599股、避險+437,978股)。三大法人分項加總-18張、官方合計欄-17張(四捨五入差)，幾近完全打平，意味本日上漲主要由非三大法人資金(散戶、中實戶)與空方回補推動，而非外資回頭。⚠️對照8/21的上漲(外資狂買5,795張、量18,922張)，本次反轉的資金品質明顯較差，這是本報將評級定為「中性偏多」而非「看多」的主要理由。TAIFEX台指期未平倉：外資淨空單85,380口(多5,030/空90,410)、投信淨多單76,309口、自營淨多單2,501口——外資期貨仍為大幅淨空，與其現貨連2日賣超方向一致。(5)⭐技術指標由8/24的「同步回頭」轉為「同步翻正」，四項全數改善(TWSE官方序列2026-01-02~08-25共155筆計算)：RSI(14) 49.73→52.24重新站上50中軸；RSI(6) 47.36→54.80(+7.44點，並已高於RSI(14)達2.56點，短長天期相對位置由「短弱長強」翻為「短強長弱」)；MACD柱狀圖+1.71→+3.05(擴張78.4%)、DIF +4.58→+5.63、DEA +3.73→+4.11，DIF上升快於DEA使正乖離自0.85擴大至1.53，死亡交叉威脅在數學上被明確推遠，且DIF與DEA雙雙位於零軸之上並呈DIF&gt;DEA，屬MACD最強的「零軸上方多頭排列」；KDJ黃金交叉正式成立(K 44.93→49.65上穿D 49.48→49.53，K-D由-4.55翻正為+0.12)。⚠️誠實標示三項限制：該金叉是前報預期落空後延後一日補上；乖離僅0.12點、屬統計上幾可忽略；三值(49.65/49.53/49.88)幾乎重合於50，代表多空在中性位置短暫平衡而非多方取得優勢。⚠️另須指出MACD本波的反覆：柱狀圖8/20 +1.10→8/21 +4.40→8/24 +1.71→8/25 +3.05，四個交易日內兩次大幅反轉，日間讀數缺乏趨勢意義，須連續2-3日同向擴張才具確認力。布林2,491/2,369/2,247。(6)⚠️衍生品透露的訊息與價格不完全一致，值得單獨列出：台積電個股期CDF 202609日盤收2,399(+14、+0.59%、開2,371/高2,401/低2,357、量5,074口、結算價2,399、未平倉26,519口)，對現貨2,400由8/24的正價差+9轉為逆價差-1——期貨未跟上現貨尾盤拉抬；未平倉自26,755減至26,519口(-236口)，量增而OI減屬「當沖與平倉」性質，非新資金建立多單。⚠️這是本日技術面翻正之外最值得保留戒心的一項，代表拉升由現貨買盤主導而非期貨帶動。⭐今晨夜盤(8/25 15:00→8/26 05:00、TAIFEX「盤後」列日期為8/26)明確轉強：CDF 202609收2,408(+9、+0.38%、開2,406/高2,411/低2,397、量1,115口)對現貨回到正價差+8；台指期TX 202609夜盤收45,437(+405、+0.90%、開45,093/高45,470/低45,020、量28,479口)，跟隨美股費半+1.44%走強——兩者同步為8/26台股開盤提供偏多初始條件。⭐選擇權未平倉P/C比自95.81%升至101.99%(賣權62,319口首度超過買權61,102口)；依本報已確立的判讀紀律(台指選擇權週三與週五皆有到期結算，P/C未平倉比僅在週一、週二、週四具跨日可比性)，8/24為週一、8/25為週二，兩者同屬非結算重建期、基數一致，這是本週第一個可直接比較的讀數。⚠️表面上P/C&gt;1屬偏空，但在股價同日上漲+1.05%且今晚有NVIDIA財報的情境下，本報判讀為「避險性買進賣權」而非方向性看空；成交量P/C 110.78%(賣權197,640/買權178,414口)同步偏高，印證財報前避險需求。⚠️若8/27(週四、下一個可比日)P/C續升而股價下跌，則須改判為真實看空。(7)⭐相對強弱由落後轉為領先：1日——2330 +1.05%小幅領先加權指數+0.91%(收45,169.46、+407.14點、額7,242.58億、⭐盤中最低曾下探44,210.31達-1.23%、尾盤逆轉收在當日最高，台積電估貢獻約200點)達0.14個百分點，⚠️惟落後費半SOX的+1.44%。5日——2330 +0.84%明顯領先加權-0.31%達1.15個百分點，相對強度已由8/24的落後轉為領先。1個月——2330 +2.13%落後加權+3.52%。YTD——2330 +51.4%落後加權+53.9%與費半+57.3%(YTD基準採2026-01-02收盤：2330 NT$1,585、加權29,349.81、SOX 7,367.47)，中期落後結構未改變。⭐ADR TSM收$417.41(+1.78%、+$7.29；三重自我檢核：410.12+7.29=417.41✓、410.12×(1+1.78%)=417.42✓、另經stockanalysis.com交叉確認收盤$417.41/+1.78%/前收$410.12✓)。⭐溢價自+9.93%擴大至+10.75%(+0.82pp、平價$376.88、匯率31.84)——ADR +1.78%明顯領先台股+1.05%達0.73pp，代表美股投資人在NVIDIA財報前對台積電的買進意願強於台股，屬領先訊號、對8/26台股偏正面；⚠️惟溢價已回到8月偏高區間，若財報不如預期，ADR回吐空間亦相對較大。(8)⭐外部環境全面轉好：8/25美股半導體反彈，費半SOX收11,588.04(+164.87、+1.44%)，終結8/24的-2.70%重挫。⚠️⚠️惟本報必須明確標註：距52週高點14,655.29(2026-06-22盤中高、收盤高為同日14,634.72)仍達-20.9%，僅自-22.1%收斂1.2pp，依-20%通行定義仍在技術性熊市之內、尚未脫離(本報已以1年日線序列獨立複核)。族群內部19檔追蹤標的中14檔收紅：AMD +4.91%收$479.18(明確催化劑為Raymond James上調至強力買進，並連帶帶動美超微SMCI +9.35%、為本日追蹤清單漲幅最大者)、MU +2.48%收$932.97(記憶體震央止跌)、NVDA +2.19%收$213.05(⭐終結連續7個交易日收黑)、AMKR +1.67%、LRCX +1.45%、QCOM +1.28%、ARM +1.16%、2344華邦電+1.13%收179.0、KLAC +0.97%、000660 SK海力士+0.42%收167.8萬韓元、INTC +0.25%、ASML +0.23%。⚠️收黑5檔：AMAT -0.86%收$480.04(⚠️在費半反彈日仍創本波新低、自8/17累計-10.32%、距2年高點-22.4%續處熊市)、2454聯發科-0.80%收3,735、AVGO -0.56%收$356.74(⚠️連2日下跌並創本波新低、自8/17累計-9.09%、與族群連續2日背離值得留意)、3711日月光-0.17%收591.0(⭐惟盤中低569.0曾達-3.9%、尾盤全數收復並收最高，實質強度優於表面數字)、AAPL -0.14%收$309.90(⭐仍為客戶族群唯一自8/17累計收紅者、+1.41%)。⭐三星電子8/25收平盤257,000韓元(0.00%)，與8/24(該日因股東回饋計畫失望暴跌-8.70%)收盤價完全相同——⭐⭐依本報既有紀律(連2日相同價位必須另尋來源確認)，已執行交叉查證：investing.com歷史資料與多篇韓媒報導一致證實為真實平盤(早盤一度重挫近4%、盤中完全收復)，非資料錯誤或延遲。⚠️三星8/24崩跌根因未解：受《金融產業結構改善法》限制而無法提出庫藏股銷除計畫，與SK海力士8/20宣布40兆韓元買回並全數註銷(當日+12.73%)形成治理面對比。美股大盤同步偏多：S&amp;P500 +0.32%收7,677.28、那斯達克+0.66%收26,151.30、VIX -2.52%收15.45(⭐NVIDIA財報前市場並未升溫)。(9)⚠️⚠️今晚(美東8/26盤後)NVIDIA公布Q2 FY27財報，是本週決定性變數，結果須待8/27台股開盤才反映：公司自身財測中值約$91.0B(±2%)、40位分析師共識約$91.85-92.2B(高於財測約0.9%，顯示市場認為公司指引偏保守；⚠️確切公布鐘點未能證實)。⭐客戶集中度的最新量化：NVIDIA 2025年貢獻TSMC營收約$231.6億、占比約19%，已超越蘋果成為第一大客戶；2026年預估攀升至約$330億、占比約22%。⚠️2330 8/25已上漲+1.05%、ADR更漲+1.78%提前反映樂觀預期，指引若不如預期則回吐風險相對較高。⚠️判讀紀律：本報所有判讀均不含該財報結果，且財報權重應顯著高於今日技術訊號。(10)⚠️評價位階小幅擴張：8/25 TWSE官方BWIBBU顯示P/E 27.82x(8/24為27.53x)、P/B 9.68x(9.57x)、殖利率0.92%(0.93%)、市值約NT$62.2兆，財報基準仍為115/2(8/14換基準後未變、各日可比)。⭐本日變化純由股價+1.05%帶動、分母未動，屬評價的實質微幅擴張而非財報更新。⚠️P/E仍位於5年區間第87百分位、10年第88百分位，P/B第91百分位——評價偏貴的結構未變，自8/17起算的整段震盪並未提供實質評價折讓；PEG 0.82低於1仍是主要辯護理由，⚠️惟其分母(FY26 EPS成長率)高度依賴AI需求延續，今晚NVIDIA財報若下修展望，PEG辯護力將同步減弱。⭐匯率逆風連2日小幅緩解：新台幣8/25收31.84(Yahoo TWD=X逐時序列16:00台北時點)，自8/24的31.83再回貶約0.03%，連2個交易日走弱；相對8/13的32.12累計升值幅度自0.90%縮小至0.87%，依官方口徑(每升值1%約-40bps)估算毛利率逆風自約-36bps縮小至約-35bps。⚠️誠實標註：本日變化幅度極小(0.01元)、不足以改變基本面判斷，僅記錄方向；且盤中一度升至31.87-31.89(11:00-13:00)，日內波動明顯大於日間變化。(11)⭐產業與公司面新增資訊：DIGITIMES 8/25報導指AI資料中心用電需求成為全球電力與半導體供應鏈新壓力點，台灣晶圓代工產能持續吃緊、帶動晶片報價2026下半年走升(⭐與Q3毛利率指引65-67%方向一致；⚠️另一面是台灣電力瓶頸為結構性限制)。台積電於2026台灣科技論壇揭露：2nm與A16製程產能2026-2028年CAGR達70%、CoWoS／SoIC先進封裝產能成長率逾80%(至2027年)；CoWoS 5.5倍光罩尺寸良率已突破98%；CoWoS月產能預估2026年底達12-13萬片、較2023年底的1.3萬片擴增近10倍；先進封裝產能已連續三年每年倍增，仍無法完全消化AI半導體暴增需求。⚠️法規面：日本經產省2026-05-29修訂《外匯及外貿法》，首度將Chiplet、3D堆疊、CoWoS、TSV等先進封裝後段設備納入出口管制，已於8/1生效，主要限制對中國大陸出口(⭐對台積電偏正面：陸廠受限強化其CoWoS領先地位；⚠️惟地緣政治風險結構性升高)。⚠️美國8/6宣布半導體進口課徵100%關稅、在美設廠可豁免，台積電亞利桑那已追加1,000億美元投資(總承諾$165B)、CEO魏哲家表示看好AI需求延續至2029-2030年——⚠️本報須標註：正式生效日期與232條款配套執行細則尚未查得官方公告原文，屬「未能證實」。(12)📅資料口徑與缺口聲明：全程TWSE/TAIFEX/Yahoo官方API取數，ADR另經stockanalysis.com交叉確認、三星與SK海力士另經investing.com及韓媒交叉確認。⚠️匯率採Yahoo TWD=X逐時序列8/25 16:00台北收盤時點讀數31.84(日線序列缺漏該筆)，與前一日同法取得的8/24 31.83口徑一致、可直接比較，正式值請以央行／台北外匯經紀公司公告為準。技術指標依TWSE官方序列2026-01-02~08-25共155筆重算，並回算驗證8/24各值(RSI(14) 49.73、RSI(6) 47.36、DIF+4.58/DEA+3.73/柱+1.71、K44.93/D49.48/J35.84、MA5 2,378/MA10 2,393/MA20 2,362.5/MA60 2,381.5/MA120 2,213.1、布林2,489/2,363/2,236、5日均量18,516張)與8/25已發布日報所載數值逐項完全一致，確認序列連續、無口徑漂移。⚠️本報主動更正既有呈現方式：HTML日報「主要行使價未平倉分布」一表的買賣權欄位，先前以具體口數呈現易被誤讀為TAIFEX官方逐履約價數據，實則台積電個股並無選擇權逐履約價公開序列，本日起改為定性描述並明確標註「本報估算」；表頭卡片的Call/Put未平倉總量與P/C比仍為TAIFEX台指選擇權官方數據。⭐綜合研判：由「中性偏空」上調至「中性偏多」——先破底再收最高的教科書式反轉、五線全數收復、四項技術指標同步翻正、KDJ黃金交叉補上，8/24的突破失敗在隔一個交易日即被修復；⚠️但這次修復有三個必須並列的瑕疵：量能仍是全年第3低(反轉無量)、外資連2日賣超2,772張與價格背離、CDF期貨轉逆價差且未平倉減少(期貨未跟上現貨)。技術面位置已回到8/21，但資金品質明顯不如8/21，故不直接跳到「看多」。⚠️⚠️真正的裁決點有二：今晚NVIDIA財報，以及8/26收盤能否守住2,380(前報所訂「連續2日站穩」的第二天)。今日(8/26)判定標準：收盤守在2,380之上＝修復完成、8/21多方結構重新確立；跌回2,380以下＝8/25僅屬單日反彈。第二順位為量能須回補至5日均量17,224張之上。上方壓力2,410/2,435/2,470/2,491/2,510/2,535，下檔支撐2,394/2,382/2,375/2,369/2,350/2,335/2,247/2,217。</t>
        </is>
      </c>
      <c r="G113" s="50" t="inlineStr">
        <is>
          <t>Yahoo Finance / Bloomberg</t>
        </is>
      </c>
    </row>
    <row r="114">
      <c r="A114" s="53" t="inlineStr">
        <is>
          <t>2026-08-27</t>
        </is>
      </c>
      <c r="B114" s="53" t="inlineStr">
        <is>
          <t>NT$2,415（8/26收）</t>
        </is>
      </c>
      <c r="C114" s="54" t="inlineStr">
        <is>
          <t>+0.63%（8/26收）</t>
        </is>
      </c>
      <c r="D114" s="53" t="inlineStr">
        <is>
          <t>US$417.69（8/26收）</t>
        </is>
      </c>
      <c r="E114" s="53" t="inlineStr">
        <is>
          <t>19,467（8/26收）</t>
        </is>
      </c>
      <c r="F114" s="55" t="inlineStr">
        <is>
          <t>報告日2026-08-27(Thu)，涵蓋8/26(Wed)收盤。⭐⭐修復完成、且是放量完成：連續2日站穩2,380的檢核條件正式達標、量能放大43.8%站回均量之上、外資反手大買5,204張——前報所列三項瑕疵中的兩項同時解除；⚠️惟2330 +0.63%明顯落後大盤+1.47%，且NVIDIA盤後財報大超預期尚未反映於本報數字——(1)⭐⭐價格與型態：8/26官方收NT$2,415(+15、+0.63%、開2,375/高2,425/低2,375、量19,467張、額468.18億、67,273筆)。⭐⭐本日最重要的一件事是前兩份日報所訂「站回2,380且連續2日站穩」的修復門檻正式達標(8/25收2,400完成第一天、8/26收2,415完成第二天)，8/24的突破失敗至此判定為已修復、8/21的多方結構正式重建。型態面：開盤價2,375＝當日最低價(全日無下影線)，為連續第2個交易日跳空低開(較前收2,400低25點)後全程未再破底，實體40點、上影線10點——開盤後賣壓即告枯竭、買方全程掌握主動。⭐三項同步墊高構成完整的多方推進：收盤2,400→2,415、盤中低2,350→2,375(+25點)、盤中高2,400→2,425(為8/21以來波段新高、越過8/21收盤2,410達15點)。⚠️惟收盤2,415未能站上盤中高2,425，留下10點上影線，顯示該價位附近仍有實質調節賣壓，這是本日型態上唯一的瑕疵。(2)⭐⭐量能改善是本日最具實質意義的變化，且精準回應前報所列的第一號瑕疵：前報明確指出8/25的上漲發生在全年第3低量(13,538張)之上、「無量上漲的可靠度本質上有限」，並訂出「須見量能回補至5日均量之上」的檢核。8/26成交19,467張，較8/25放大43.8%，一舉站上5日均量16,394張達18.7%，終結連3個交易日低於均量，且為8/19(23,619張)以來最大量——檢核通過，8/26屬價量配合的健康上漲而非無量反彈。⭐結構同步健康：成交筆數自57,334筆增至67,273筆(+17.3%)，每筆平均張數自0.236張回升至0.289張，大單與散單同步回流。⚠️平衡標註：單日放量尚不足以確立趨勢，須觀察8/27能否維持均量之上，一日放量後迅速萎縮的案例在本波修正中已出現過。(3)⭐⭐籌碼面解除第二號瑕疵，外資是本日最大轉折：外資及陸資由連2個交易日賣超(8/24 -1,621張、8/25 -1,151張、2日合計-2,772張)反手大買5,204張(T86官方原始+5,204,332股)，單日買超規模為8/21(+5,795張)以來最大，一舉超額回補前2日賣超近1倍。⚠️但必須同時指出反向的一面：投信由8/25買超658張轉為賣超521張(-520,709股、為近5個交易日唯一賣超日)，自營商買超226張。三大法人分項四捨五入後加總+4,909張、TWSE官方合計欄換算+4,910張(差1張屬正常捨入誤差)。⭐判讀：本日上漲的資金品質明顯優於8/25——8/25是外資賣、非三大法人資金推升，8/26則是外資主導的買盤，這是本報將評級自「中性偏多」上調至「偏多」的主要理由。⚠️惟外資期貨端僅溫和配合：TAIFEX台指期未平倉外資淨空單自8/25的85,380口降至83,654口(多8,657/空92,311)，僅回補1,726口；投信淨多單78,043口、自營商淨空單421口——現貨大買而期貨僅小幅回補，屬配合而非強力做多，籌碼轉多的持續性仍待8/27驗證。(4)⚠️⚠️本日最須誠實標明的保留意見是相對強弱的逆轉：加權指數8/26大漲663.16點收45,832.62(+1.47%、TWSE官方FMTQIK)，開低後強勢逆轉、為近期最強單日表現，而2330僅+0.63%，落後大盤0.84個百分點——這與8/25的「2330 +1.05%領先大盤+0.91%」完全相反，在指數大漲之日台積電由領漲股變為落後股。⭐盤面資金流向可解釋此現象：本日領漲的是光學元件與矽光子(CPO)族群，大立光攻上漲停並以6,290元刷新歷史最高價，聯發科大漲210元(+5.62%)收3,945；據媒體統計，台積電、聯發科、南亞、台達電與台光電等大型權值股合計貢獻大盤約320點。⚠️判讀上的意義：台積電本日並未落後於自身趨勢(仍創波段新高)，但在族群內部的相對吸引力暫時被高價股與利基題材取代，須留意這是輪動的開始還是單日現象。(5)⭐⭐技術指標連續第2個交易日全面翻正、且改善幅度大於8/25(TWSE官方序列2026-01-02~08-26共156筆計算)：RSI(14) 52.24→53.73已越過8/21的53.38、回到8/24突破失敗前的水位；RSI(6) 54.80→58.97(+4.17點)，連2日升幅均大於RSI(14)，且已高於RSI(14)達5.24點(前一日為2.56點)，「短強長弱」的動能結構不僅維持且明顯擴大。MACD柱狀圖+3.05→+5.57(連2日擴張、本日擴張82.6%，為8/21的+4.40以來最高)，DIF +5.63→+7.59(升幅大於前一日的+1.05)、DEA +4.11→+4.81，正乖離自1.53大幅擴大至2.78(+81.7%)——⭐前報所述「真正的確認需連續2-3日紅柱同向擴張、本日僅為第一日」，本日補上第二日，死亡交叉威脅至此可視為實質解除；DIF與DEA雙雙位於零軸之上且DIF&gt;DEA，續為「零軸上方多頭排列」。KDJ由8/25幾可忽略的金叉(K-D +0.12)明確擴大：K 49.65→58.50(+8.85)、D 49.53→52.52(+2.99)、J 49.88→70.45(+20.57)，K-D自+0.12擴大至+5.98——⭐這正是前報所訂「須見K-D乖離連續2日擴大至+3以上才具實質意義」的門檻，本日一次跨過，該金叉自本日起可視為有效訊號而非統計雜訊，三值形成J&gt;K&gt;D的標準多頭排列。⚠️⚠️惟須標明新出現的限制：J值70.45已接近超買區(80)、距離僅9.55點，為四項指標中唯一開始出現過熱徵兆者；若8/27因NVIDIA財報利多而跳空大漲，J值極可能直接進入超買區，屆時KDJ將由多方訊號轉為短線過熱警訊。均線5MA 2,395/10MA 2,394/20MA 2,379/60MA 2,383/120MA 2,222，現價續站全部五條均線，且5MA自2,382升至2,395已越過10MA，短天期均線轉為多頭排列。⭐布林通道出現明顯收斂(本日容易被忽略但值得單獨列出)：上軌2,491→2,475、下軌2,247→2,284，寬度自244點壓縮至191.5點(-21.5%)，為近期最快的一次收窄；中軌(20MA)自2,368.5上移至2,379.2，現價高於其36點、緩衝較前一日的31點略增。判讀：通道收斂代表20日內波動度顯著下降，通常出現在方向選擇之前；⚠️誠實標註——布林收斂本身不指示方向，把它讀成看多或看空都是過度解讀。(6)⭐⭐衍生品全面轉為配合，前報第三項瑕疵亦告解除：台積電個股期CDF 202609日盤收2,424(+25、+1.04%、開2,403/高2,426/低2,381、量4,584口、結算價2,424、未平倉25,923口)，對現貨2,415由8/25的逆價差-1回到正價差+9，期貨重新領先現貨；⚠️惟未平倉自26,519減至25,923口(-596口)、連2日減少，量增而OI減續屬當沖與平倉性質，尚未見新資金建立方向性多單——這是衍生品端唯一未跟上的一項。⚠️⚠️選擇權須特別標註口徑：8/26為週三、台指選擇權當日到期結算，未平倉大幅結清重建(賣權62,319→40,154口、買權61,102→38,971口，雙邊合計123,421→79,125口、-35.9%)，此為結算結清而非部位真的離場。依本報既有紀律(台指選擇權週三與週五皆有到期結算)，結算日的P/C比僅看絕對水位、不與前一日比較，故「P/C自101.99%升至103.04%」在本日不具跨日比較意義，本報不作此推論；可用的判讀只有絕對水位——103.04%略高於100%的多空分界，屬中性略偏保守，不構成方向性訊號。成交量P/C比112.20%(賣權373,558/買權332,947口、總成交706,505口)在結算日放大屬結算特徵、非情緒升溫。⚠️下一個具跨日可比性的讀數是8/27(週四)，且8/28為週五又逢結算，故本週剩餘交易日中僅8/27可用。(7)⭐相對強弱與ADR：1日——2330 +0.63%落後加權+1.47%達0.84個百分點、亦落後費半SOX的+0.20%之上但幅度有限。5日——2330 +2.77%仍略領先加權+2.49%(+0.28pp)，中期結構尚未惡化。1個月——2330 +2.77%落後加權+5.04%。YTD——2330 +52.4%落後加權+56.2%與費半+57.6%(YTD基準採2026-01-02收盤：2330 NT$1,585、加權29,349.81、SOX 7,367.47)，落後幅度較8/25擴大，中期落後結構不僅未改善且略為加深。⚠️ADR TSM正規盤收$417.69(+0.28、+0.07%；三重自我檢核：417.41+0.28=417.69✓、417.41×(1+0.07%)=417.70✓、另經stockanalysis.com交叉確認收盤$417.69/+0.07%/前收$417.41、讀數時點Aug 26 2026 4:00 PM EDT✓)。⚠️溢價自+10.75%收斂至+9.97%(-0.78pp、平價$379.84、匯率31.79)——ADR僅+0.07%明顯落後台股+0.63%，且匯率自31.84升值至31.79亦推高平價、進一步壓縮溢價；判讀：美股投資人在NVIDIA財報公布前選擇按兵不動而非追價，屬觀望而非看空。(8)⭐⭐報告時點之後的最大變數已經揭曉、且結果明顯偏多：NVIDIA於美東8/26盤後(約16:20 EDT)公布Q2 FY27財報，營收$96.22B(+106% YoY、+18% QoQ)大幅超越分析師共識約$92.2B與公司自身財測中值$91.0B；資料中心營收$89.0B(+117% YoY、占總營收約93%)由Blackwell Ultra架構放量帶動；調整後EPS $2.22超越共識$2.10；⭐⭐最關鍵的是Q3財測$108B(±2%)，高於共識約$104.2B達約$3.8B，且公司明言該財測不含任何中國資料中心銷售，代表上修動能來自非中國市場的真實需求；非GAAP毛利率指引約74%。市場即時反應：NVDA盤後$219.53(+9.87、+4.71%)、TSM ADR盤後$424.90(+7.21、+1.73%)，兩者讀數時點均為Aug 26 2026 7:59 PM EDT(＝台北8/27 07:59、經stockanalysis.com確認；自我檢核TSM 417.69×1.0173≈424.92✓、NVDA 209.66+9.87=219.53✓)。⭐換算意涵：若ADR溢價維持8/26收盤的+9.97%不變，$424.90對應台股約2,456(+41點、+1.70%)。⚠️⚠️時序誠實聲明：以上全部未反映於本報8/26的台股與ADR正規盤收盤數字；且TAIFEX夜盤(8/26 15:00→8/27 05:00)於台北05:00即結束，而財報約於台北04:20公布，夜盤僅涵蓋財報後約40分鐘的初始反應(CDF 202609收2,418、-6、開2,406/高2,427/低2,410、量986口；台指期TX 202609收45,993、-10、量26,057口)，未涵蓋盤後後段的主要漲幅，故夜盤讀數不宜視為市場對該財報的完整定價；另盤後報價本身流動性較低，正規盤開盤後的實際定價可能與盤後不同。(9)⭐外部環境：8/26美股半導體小幅續漲，費半SOX收11,611.24(+23.20、+0.20%)、連2日收紅，自8/17的12,621.00累計跌幅自-8.18%收斂至-8.00%。⚠️⚠️惟距52週高點14,655.29(2026-06-22盤中、收盤高為同日14,634.72)仍達-20.8%，僅自-20.9%收斂0.1pp，依-20%通行定義仍在技術性熊市之內、尚未脫離。⚠️本日僅+0.20%屬財報前的觀望性整理，族群內部分歧明顯——收紅：ARM +3.93%收$251.06(⭐本日美股追蹤標的漲幅最大、大幅領先費半)、QCOM +1.97%收$163.72(⭐自8/17累計由-1.00%轉為+0.95%、為客戶族群第2檔累計轉正者)、005930三星電子+1.75%收261,500韓元(⭐終結8/24暴跌與8/25平盤的僵局、為8/24崩跌後首度實質反彈、收復該次跌幅約1/5)、2344華邦電+1.40%收181.5(⭐自8/17累計由-1.38%轉為持平、為最先完全收復失土的台股供應鏈標的)、AAPL +1.15%收$313.45(⭐創本波新高、自8/17累計+2.57%、續為客戶族群唯一累計收紅者)、INTC +0.87%、000660 SK海力士+0.60%收168.8萬韓元、MU +0.58%收$938.40、AMD +0.37%收$480.93(⭐創本波新高、惟漲幅自8/25的+4.91%大幅放緩)、KLAC +0.27%、3711日月光+0.17%收592.0、ASML +0.08%。⚠️收黑：NVDA -1.59%收$209.66(財報前觀望性回檔、⭐但盤後大漲見第8點)、AMKR -0.62%收$48.40(⚠️續為追蹤清單本波跌幅最重者、自8/17累計-21.04%)、LRCX -0.57%、AVGO -0.32%收$355.59(⚠️連3個交易日下跌並再創本波新低、自8/17累計-9.39%、在大盤與費半收紅之日仍走弱、弱勢已具結構性特徵)、AMAT -0.06%收$479.76(⚠️連3日下跌、自8/17累計-10.38%、距2年高點-22.4%續處熊市)。⭐2454聯發科+5.62%收3,945為台股追蹤標的漲幅最大者(見第4點)。(10)⚠️評價位階小幅擴張：8/26 TWSE官方BWIBBU顯示P/E 27.99x(8/25為27.82x)、P/B 9.74x(9.68x)、殖利率0.91%(0.92%)、市值約NT$62.6兆，⭐本報已確認財報年/季欄位仍為115/2、未再換季，故8/14起各日可比。本日變化純由股價+0.63%帶動、分母未動，屬評價的實質微幅擴張。⚠️P/E已逼近28x整數關卡，仍位於5年區間第87百分位、10年第88百分位，P/B第91百分位——評價偏貴的結構未變；PEG 0.82為唯一顯示成長性可支撐評價的指標。⭐值得留意的前瞻角度：NVIDIA財報大超預期並上修Q3財測，若帶動台積電EPS共識上修，分母擴大將使P/E在股價不變下自然回落；⚠️惟本報尚未觀察到分析師實際調升台積電EPS共識的動作，不預先自行上修任何數字或評價百分位。⚠️匯率轉為升值、逆風連2日緩解的趨勢中斷：新台幣8/26收31.79(Yahoo TWD=X逐時序列16:00台北時點)，自8/25的31.84升值約0.16%，終結連2個交易日的走弱；相對8/13的32.12累計升值幅度自0.87%擴大至1.03%，依官方口徑(每升值1%約-40bps)估算毛利率逆風自約-35bps擴大至約-41bps。日內細節：8/26盤中自31.86(00:00)一路走升至31.78(15:00)為當日最強、16:00收31.79；8/27今晨續升至31.78-31.81區間(09:00台北為31.78)，升值趨勢延續。⚠️台幣仍處2026年偏強區間，Q3毛利率指引65-67%已含匯率假設，須快速升破31.0才需重新評估。(11)📅資料口徑與缺口聲明：全程TWSE/TAIFEX/Yahoo官方API取數，ADR與NVDA盤後另經stockanalysis.com交叉確認(含讀數時點)，台股供應鏈個股(2344/3711/2454)另以TWSE STOCK_DAY官方序列複核與Yahoo一致。⚠️匯率採Yahoo TWD=X逐時序列8/26 16:00台北收盤時點讀數31.79(日線序列缺漏該筆)，與前一日同法取得的8/25 31.84口徑一致、可直接比較，正式值請以央行／台北外匯經紀公司公告為準。技術指標依TWSE官方序列2026-01-02~08-26共156筆重算，並回算驗證8/25各值(RSI(14) 52.24、RSI(6) 54.80、DIF+5.63/DEA+4.11/柱+3.05、K49.65/D49.53/J49.88、MA5 2,382/MA10 2,393.5/MA20 2,368.5/MA60 2,382.25/MA120 2,216.96、布林2,490.5/2,368.5/2,246.5、5日均量17,224張)與8/26已發布日報所載數值逐項完全一致，確認序列連續、無口徑漂移。⚠️本報主動修正一項既有缺陷：HTML日報「三大法人」區塊的「外資近5日趨勢」欄位原硬編為「持續賣超／從高點獲利了結中」，在外資買賣方向反轉時會標錯(本日外資近5日合計為淨買超+8,961張、買3日賣2日，原標示與事實相反)，已改為依foreign_5d數列動態計算買賣方向、淨額與買賣日數，並套用對應顏色。⭐綜合研判：由「中性偏多」上調至「偏多」——連續2日站穩2,380的修復門檻正式通過，前報所列三項瑕疵中的量能(放大43.8%站回均量)與外資(反手買超5,204張)兩項同時解除，期貨亦回到正價差+9，技術指標連2日全面翻正且KDJ金叉跨過+3的實質門檻。⚠️但須並存兩項保留意見：(1)2330 +0.63%落後大盤+1.47%達0.84pp，資金明顯輪動至光學元件與矽光子等高價股，台積電在族群內的相對吸引力暫時下降；(2)CDF未平倉連2日減少、外資台指期淨空單仍達83,654口，顯示法人尚未在衍生品端建立方向性多單。評級上調的理由是資金品質的實質改善而非價格本身。⚠️⚠️決定性的新資訊在報告時點之後：NVIDIA財報大幅超預期且Q3財測高於共識約$3.8B，TSM ADR盤後+1.73%——本報所有判讀均不含該結果，8/27開盤起才會反映。今日(8/27)判定標準：⭐第一順位不是開盤漲幅而是開高之後的守勢，檢核價位為8/26盤中高2,425——跳空越過後又跌回其下即為「利多出盡、開高走低」的明確警訊；若收盤站穩2,425之上，則本波修正的頸線2,435為下一個測試目標。第二順位為相對強弱能否修復(若在NVIDIA直接利多下2330仍落後大盤，須認定為結構性輪動)。第三順位為量能須維持5日均量16,394張之上、外資續買，並觀察CDF未平倉是否回升。上方壓力2,425/2,435/2,470/2,475/2,510/2,535，下檔支撐2,395/2,394/2,383/2,379/2,375/2,350/2,284/2,222。</t>
        </is>
      </c>
      <c r="G114" s="53" t="inlineStr">
        <is>
          <t>Yahoo Finance / Bloomberg</t>
        </is>
      </c>
    </row>
    <row r="115">
      <c r="A115" s="50" t="inlineStr">
        <is>
          <t>2026-08-28</t>
        </is>
      </c>
      <c r="B115" s="50" t="inlineStr">
        <is>
          <t>NT$2,410（8/27收）</t>
        </is>
      </c>
      <c r="C115" s="57" t="inlineStr">
        <is>
          <t>-0.21%（8/27收）</t>
        </is>
      </c>
      <c r="D115" s="50" t="inlineStr">
        <is>
          <t>US$427.30（8/27收）</t>
        </is>
      </c>
      <c r="E115" s="50" t="inlineStr">
        <is>
          <t>19,214（8/27收）</t>
        </is>
      </c>
      <c r="F115" s="52" t="inlineStr">
        <is>
          <t>報告日2026-08-28(Fri)，涵蓋8/27(Thu)收盤。⚠️⚠️利多出盡的教科書案例、且本報前一日訂出的兩項警訊條件全數成立：NVIDIA財報大超預期、TSM ADR隔夜+2.30%、費半+2.33%，2330卻開2,430(高2,435)走低收NT$2,410(-5、-0.21%)並收在全日最低，越過檢核價2,425後跌回其下；⚠️相對弱勢連續第2日成立且這次發生在直接利多之下，依前報所訂標準須認定為結構性輪動。⭐平衡事實：量能續守均量、外資連2日買超4,501張、五條均線全數未破——本日是「攻擊失敗」而非「趨勢轉空」，評級自「偏多」下調至「中性」——(1)⚠️⚠️價格與型態，前報第一號檢核條件成立且結果為負面：8/27官方收NT$2,410(-5、-0.21%、開2,430/高2,435/低2,410、量19,214張、額465.45億、60,122筆)。前一份日報明訂「檢核價位為8/26盤中高2,425——若今日跳空越過後又跌回其下，即為『利多出盡、開高走低』的明確警訊」，8/27開2,430(跳空高開15點)、盤中高2,435(越過檢核價10點)，收盤2,410回落至檢核價之下15點，條件完全成立，本報據實宣告而不因前一日看多而迴避。⚠️型態嚴重性高於-0.21%的跌幅所示：收盤價2,410＝當日最低價(全日無下影線)，為「光頭光腳黑K」，與8/25收在全日最高的長紅完全鏡像；黑K實體20點、上影線5點；盤中高2,435恰為本報所列第二壓力(8/14收盤價)，觸及未收上，該反壓確認有效。⭐三項緩和事實須並列：跌幅僅5點、黑K實體僅20點、低點2,410仍高於8/26低點2,375達35點(低點連3日墊高的結構未破)、收盤仍高於全部五條均線——本日是攻擊失敗，不是趨勢反轉。(2)⚠️⚠️前報第二號檢核條件同樣成立，判讀意義大於單日漲跌：前報明訂「若今日在NVIDIA直接利多下2330仍落後大盤，則須認定為結構性輪動而非單日現象」。加權指數8/27收45,975.22(+142.60、+0.31%、TWSE官方FMTQIK)，2330 -0.21%，落後0.52pp，為連續第2個交易日落後大盤(8/26落後0.84pp)。⚠️⚠️更值得警惕的是中期相對強度本日正式翻負：近5日2330 +1.47% vs加權+2.32%，落後0.85pp——⭐誠實對照，前一份日報當時的敘述是「中期結構尚未惡化，近5日2330 +2.77%仍略領先大盤+2.49%」，該領先已於本日消失，本報據實更新此判讀。1個月(+2.55% vs +5.37%)與YTD(+52.1% vs大盤+56.7%、費半+61.3%)的落後幅度亦同步擴大，其中對費半的落後自5.2pp擴大至9.2pp——費半8/27大漲+2.33%並脫離技術性熊市，2330卻未參與該族群性反彈，這是YTD差距單日擴大4.0pp的直接原因。YTD基準採2026-01-02收盤(2330 NT$1,585、加權29,349.81、SOX 7,367.47)。(3)⚠️⚠️本日最具診斷價值的觀察是台美兩地對同一項利多做出相反行為：ADR TSM 8/27正規盤+2.30%收$427.30明確追價，2330同日-0.21%開高遭調節，兩地分歧達2.51pp為近期最大，ADR溢價自+9.97%急升至+12.41%(+2.44pp、平價$380.13、匯率31.70)。⭐佐證此判讀的是聯發科的同型態：8/27開4,005(＝當日最高)收3,865(＝當日最低、-80、-2.03%、TWSE官方)，與2330同為跳空高開後收在全日最低——台股高價權值股本日普遍在開盤時被賣出，這不是台積電個股問題。⚠️進一步的驗證來自美股盤後：TSM於8/27盤後回落至$425.62(-1.68、-0.39%、讀數時點Aug 27 2026 7:59 PM EDT、經stockanalysis.com確認；自我檢核427.30-1.68=425.62✓)，追價力道在正規盤結束後亦告減弱，方向與台股一致。⭐判讀：利多在兩地是先後被消化，只是台股領先一步反映。ADR收盤三重自我檢核：417.69+9.61=427.30✓、417.69×(1+2.30%)=427.30✓、stockanalysis.com交叉確認$427.30/+2.30%/前收$417.69/讀數時點Aug 27 2026 4:00 PM EDT✓。(4)⭐籌碼面是本日唯一明確偏多、且通過前報檢核的一項，本報不因價格收黑而略過：外資及陸資8/27買超4,501張(T86官方買進14,070,814股、賣出9,570,219股、買賣超+4,500,595股)，連續第2個交易日買超、2日合計買超9,705張，近5日累計淨買超12,728張(買3日/賣2日)；⚠️惟規模較8/26的5,204張縮小13.5%。投信連續第2日賣超317張(-317,464股)、自營商買超158張(+157,501股)，三大法人分項四捨五入後加總+4,342張、TWSE官方合計欄換算+4,341張(差1張屬正常捨入誤差)。⚠️⚠️但期貨端與現貨端本日再度背離、且方向轉壞：TAIFEX官方顯示外資台指期未平倉淨空單自8/26的83,654口不減反增至84,836口(多6,963/空91,799、新增空單1,182口，而非前報期待的回補)，投信淨多單自78,043口降至76,834口(-1,209口)，自營商自淨空單421口轉為淨多單376口——外資在現貨端連2日買超9,705張的同時於指數期貨加空，屬避險或看空大盤而非全面做多，這削弱了現貨買超的訊號強度。(5)⭐量能通過檢核但量價關係轉為負面，兩者必須分開陳述以免誤導：前報訂出「須見今日量能維持5日均量之上」的檢核，8/27成交19,214張，站穩5日均量16,843張之上達14.1%，連續第2日高於均量，並未出現前報所警示的「一日放量後迅速萎縮」——檢核通過。⚠️但同樣的量能在不同價格結構下意義相反：8/26的19,467張是放量上漲(買方主導)，8/27的19,214張是接近同等量能的開高走低並收最低(賣方主導)，本日的大量代表高檔調節的承接量而非追價買盤。⚠️成交筆數自67,273筆降至60,122筆(-10.6%)，每筆平均張數自0.289張升至0.320張——散單退場、大單相對增加，與外資買超的方向一致，顯示賣壓來源並非外資。(6)⚠️技術指標本日首度出現分歧，不再是前2日的「全面翻正」(TWSE官方序列2026-01-02~08-27共157筆計算)：⚠️動能類轉弱——RSI(14) 53.73→53.14(-0.59)、RSI(6) 58.97→56.87(-2.10)，連2日上升的趨勢中斷，RSI(6)回落幅度為RSI(14)的3.6倍，兩者差距自5.24點收斂至3.73點，前2日「短強長弱且持續擴大」的動能結構首度反轉為收斂，屬動能衰竭的早期訊號；惟RSI(14) 53.14仍站穩50中軸之上、距超買(70)尚有16.86點。⭐趨勢類仍在改善——MACD柱狀圖+5.57→+6.14(連3日擴張、為8/13以來最高)，DIF +7.59→+8.64(+1.05)、DEA +4.81→+5.57(+0.70)，正乖離自2.78擴大至3.07，死亡交叉進一步推遠，續為零軸上方多頭排列；⚠️惟擴張力道明顯衰竭——柱狀圖單日擴張幅度自8/26的+2.52大幅放緩至+0.57(-77.4%)、DIF升幅自+1.96減半至+1.05，趨勢仍向上但推進力量正快速流失，與RSI(6)率先回落是同一件事在不同指標上的呈現。⚠️⚠️KDJ進入前報已預警的過熱區、且以出乎意料的方式實現：K 58.50→64.00、D 52.52→56.35、J 70.45→79.30(+8.85)，J值距超買線(80)僅剩0.70點——⭐誠實對照，前報寫明「J值70.45距離超買區(80)僅9.55點……若今日跳空大漲，J值極可能直接進入超買區」；⚠️本日股價收黑-0.21%，J值卻仍大幅上升，原因是KDJ以「收盤價在近9日高低區間中的相對位置」計算，8/27區間高低點同步上移，即使收黑收盤價在區間中的位置仍較前日為高。⚠️⚠️指標過熱與價格收黑並存，是四項指標中唯一同時發出「位階偏高」與「價格未跟上」雙重訊號者，屬典型的量價/指標背離前兆；K-D乖離自+5.98擴大至+7.65，金叉結構本身仍完好。均線5MA 2,402/10MA 2,391/20MA 2,390/60MA 2,384/120MA 2,226，現價續站全部五條均線、5MA自2,395升至2,402續高於10MA；⚠️惟10MA 2,391與20MA 2,390已收斂至僅差1點，形成雙均線重合帶，該帶被跌破即屬實質破位，為本報現階段最關鍵的防線。⚠️布林通道的「劇烈收斂」本日必須加註成因，否則會被嚴重誤讀(本報主動更正判讀口徑)：帳面上通道寬度自191.5點壓縮至107.1點(-44.1%)，上軌2,443.1/中軌2,389.5/下軌2,335.9，看似波動度急速下降；⚠️但實際成因是7/30的極端低價2,205於本日滾出20日窗口，20日標準差自47.89降至26.78，屬窗口更替的機械性效果，並非8/27當日出現任何波動度壓縮；同一成因也解釋了20MA/布林中軌一次上移10.3點(2,379.2→2,389.5)。⚠️因此前一份日報所稱「布林收斂通常出現在方向選擇之前」的推論在本日不應延用，本報不以此作任何方向性判斷。可用的事實僅是位置關係：現價2,410位於中軌之上20.5點、距上軌33.1點，仍在通道上半部。(7)⭐衍生品：台積電個股期CDF 202609日盤收2,419(-5、-0.21%、開2,432/高2,439/低2,417、量4,118口、結算價2,419、未平倉25,832口)，對現貨2,410維持正價差+9(與8/26相同)，期貨續小幅領先現貨；⚠️惟未平倉自25,923減至25,832口(-91口)、連續第3日減少，且在NVIDIA利多日仍未回升——前報所指「尚未見新資金建立方向性多單」的瑕疵不僅未解除，反而在最有利的環境下獲得反證。⭐選擇權口徑：8/26(週三)為結算日、未平倉已重置為新基期，8/27(週四)是本週唯一在同一結算週期內且前後皆有可比基期的交易日，故本日跨日比較具參考價值。未平倉自結算後低基期大幅回補——賣權40,154→61,636口(+53.5%)、買權38,971→58,254口(+49.5%)，雙邊合計79,125→119,890口(+51.5%)，屬結算後的正常重建。P/C未平倉比自103.04%微升至105.81%(+2.77pp、賣權多出買權3,382口)：⭐判讀應保守——105.81%僅略高於100%的多空分界，屬中性略偏保守，2.77pp的變動在結算後重建期的雜訊範圍內，本報不解讀為明確看空訊號。成交量P/C比121.76%(賣權158,174/買權129,911口、總成交288,085口)，較8/26結算日的112.20%升高，但總成交量自706,505口大幅縮減59.2%屬結算日效應消退的正常回落，兩日的成交量P/C不宜直接比較。⚠️⚠️下一個讀數的重要限制：8/28(今日)為週五、又是本週第2個結算日，未平倉將再度結清重置，故8/27→8/28的跨日比較同樣不成立——本週實際上不存在連續兩日皆可比的P/C序列，本報明確標示此限制而非勉強解讀。⚠️夜盤時序聲明(依TAIFEX標記慣例，夜盤日期為該時段結束日)：8/27 15:00→8/28 05:00夜盤CDF 202609收2,442(+23、+0.95%、開2,429/高2,442/低2,423、量1,480口)，反映美股8/27正規盤TSM +2.30%、費半+2.33%的漲勢，為8/28台股開盤的偏多線索；⚠️惟該時段於台北05:00結束，不含美股盤後TSM回落-0.39%的部分，故夜盤讀數略高估了美股的最終情緒。(8)⭐外部環境，NVIDIA財報後美股全面追價、費半正式脫離技術性熊市：NVDA 8/27正規盤大漲+8.74%收$227.98(+$18.32)為本日追蹤清單漲幅最大者，自8/17的$224.09累計由-6.44%一舉轉為+1.74%；財報要點——營收$96.22B(+106% YoY)勝共識約$92.2B與公司財測中值$91.0B、資料中心$89.0B(+117% YoY、占比約93%)、調整後EPS $2.22(+128% YoY)勝共識$2.10、為連續第13季超越自身財測，Q3財測$108B(±2%)高於共識約$104.2B達約$3.8B且不含中國資料中心銷售。⭐⭐關鍵里程碑：費半SOX +2.33%收11,882.17(+270.93點)，距52週收盤高14,634.72(2026-06-22、盤中高14,655.29)已收斂至-18.81%，依-20%通行定義正式脫離技術性熊市——前一份日報明訂此為NVIDIA財報的關鍵檢核，本報以1年日線序列獨立複核確認通過(8/26為-20.8%)。美股大盤：S&amp;P 500 +0.72%收7,730.99、那斯達克+1.57%收26,541.35、道瓊+0.20%收53,569.44。⚠️惟族群參與度不全面——收紅：AMKR +6.90%收$51.74(⭐漲幅第二大、自8/17累計跌幅自-21.04%大幅收斂至-15.60%、終於脫離清單跌幅最重的位置)、AVGO +4.49%收$371.54(⭐終結連3日下跌、累計自-9.39%收斂至-5.32%、市場認定AI總需求變大而非ASIC與GPU零和)、INTC +4.36%收$92.09(⭐連3日收紅並首度站上$90、累計自-14.73%收斂至-11.02%)、000660 SK海力士+2.49%收173.0萬韓元(⭐HBM直接受惠、連3日回升創本波新高)、2344華邦電+2.48%收186.0(TWSE官方、⭐連3日收紅創本波新高、自8/17累計轉為+2.48%)、3711日月光+2.20%收605.0(TWSE官方、⭐先進封裝受惠、領先2330達2.41pp)、LRCX +1.82%收$318.58、005930三星電子+1.72%收266,000韓元、ARM +1.65%收$255.21、QCOM +0.65%收$164.78、AMAT +0.54%收$482.36(⭐終結連3日下跌)、AAPL +0.36%收$314.58(⭐創本波新高、累計+2.94%續為客戶族群最強)。⚠️收黑：AMD -0.89%收$476.67(⚠️為客戶族群唯一下跌者、市場解讀為GPU直接競爭者的相對劣勢被強化)、ASML -0.61%收$1,735.01(⚠️與族群明顯背離、AI資本支出對設備商的傳導有數季時間差)、MU -0.32%收$935.39(⚠️HBM題材直接受惠卻收黑、與SK海力士+2.49%強烈對比)、KLAC -0.03%收$183.77、2454聯發科-2.03%收3,865(見第3點)。(9)⚠️評價位階小幅收縮：8/27 TWSE官方BWIBBU顯示P/E 27.94x(8/26為27.99x)、P/B 9.72x(9.74x)、殖利率0.91%(持平)、市值約NT$62.5兆，⭐本報已確認財報年/季欄位仍為115/2、未再換季，故8/14起各日可比。本日變化純由股價-0.21%帶動、分母未動。⚠️P/E在28x整數關卡前止步，仍位於5年區間第87百分位、10年第88百分位，P/B第91百分位——評價偏貴的結構未變；PEG 0.82為唯一顯示成長性可支撐評價的指標。⭐⭐本日新增一項值得記錄的觀察：NVIDIA財報大幅超預期已於8/27兌現，但2330股價反以-0.21%回應且開高走低——這正是高評價股票的典型風險特徵：當估值已位於5年第87百分位，即使利多實現，市場也可能認為已被價格反映而不再追價，本報認為這是理解8/27相對弱勢的關鍵評價面線索。⚠️截至本報產製時點，尚未觀察到分析師實際調升台積電EPS共識的動作，fy_consensus 84.50與q1_consensus 20.38仍為NVIDIA財報前數值，本報不預先自行上修。⚠️匯率連續第2個交易日升值且幅度放大：新台幣8/27收31.70(Yahoo TWD=X逐時序列16:00台北時點、實際讀數31.697)，自8/26的31.79升值約0.28%，升幅為前一日(0.16%)的1.8倍；相對8/13的32.12累計升值幅度自1.03%擴大至1.31%，依官方口徑(每升值1%約-40bps)估算毛利率逆風自約-41bps擴大至約-52bps。日內細節：8/27自31.86(00:00)一路走升，09:00台股開盤時已達31.74，15:00觸及當日最強31.69，16:00收31.70；8/28今晨續升(05:00為31.67、09:00台北為31.62)，升值趨勢延續至第3日。⚠️須誠實標註此逆風與本日股價的關聯有限：8/27的-0.21%主要由開高走低的調節賣壓造成，匯率是慢變量、影響落在未來季度的毛利率而非當日股價。⚠️台幣仍處2026年偏強區間，Q3毛利率指引65-67%已含匯率假設，須快速升破31.0才需重新評估。(10)📅資料口徑與缺口聲明：全程TWSE/TAIFEX/Yahoo官方API取數，ADR收盤與盤後另經stockanalysis.com交叉確認(含讀數時點)，台股供應鏈個股(2344/3711/2454)另以TWSE STOCK_DAY官方序列複核與Yahoo一致。⚠️匯率採Yahoo TWD=X逐時序列8/27 16:00台北收盤時點讀數31.70(日線序列缺漏該筆)，與前一日同法取得的8/26 31.79口徑一致、可直接比較，正式值請以央行／台北外匯經紀公司公告為準。技術指標依TWSE官方序列2026-01-02~08-27共157筆重算，並回算驗證8/26各值(RSI(14) 53.73、RSI(6) 58.97、DIF+7.59/DEA+4.81/柱+5.57、K58.50/D52.52/J70.45、MA5 2,395/MA10 2,393.5/MA20 2,379.2/MA60 2,383.25/MA120 2,221.54、布林2,475.0/2,379.2/2,283.5、5日均量16,394張)與8/27已發布日報所載數值逐項完全一致，確認序列連續、無口徑漂移。⚠️本報主動修正一項既有缺陷：HTML日報技術分析區塊的「成交量」與「布林帶」卡片標籤原硬編為「量縮整理」與「布林收窄整理」，在放量日或價格位置改變時會標錯(本日成交量19,214張高於5日均量16,843張達14.1%，原標籤「量縮整理」與事實相反)，已改為依實際數值動態計算(VOL_LABEL/BB_LABEL)，作法與先前的BASIS_LABEL、F5D_LABEL一致。⭐綜合研判：由「偏多」下調至「中性」——本報前一份日報所訂的兩項警訊條件(開高走低、利多下仍落後大盤)雙雙成立。⚠️三項實質轉壞：(1)收盤2,410＝當日最低的光頭光腳黑K，越過檢核價2,425後跌回其下，2,435反壓確認有效；(2)相對強弱連2日落後，且近5日的中期領先本日正式翻負(+1.47% vs大盤+2.32%)；(3)外資現貨買超4,501張的同時，台指期淨空單反增1,182口至84,836口，兩端背離。⭐三項未壞：量能連2日守住均量、五條均線全數未破、MACD連3日擴張。⭐下調評級的理由是價格對利多的反應失敗與相對弱勢的確認，而非基本面變化——NVIDIA財報對台積電下半年能見度的正面意義並未改變，改變的是市場願意為此付出的價格。今日(8/28)判定標準：⭐第一順位是2,410這道新防線能否守住(本報已將檢核價位自2,425下移至8/27收盤兼當日最低的2,410)——守住2,410並收復2,425則開高走低可視為單日事件；跌破2,410並失守5MA 2,402，則8/25-8/26的修復再度失效，下一道防線是10MA 2,391與20MA 2,390的雙均線重合帶(相距僅1點)，跌破即屬實質破位。⚠️今晨夜盤CDF +0.95%指向開高，但8/27本身已證明「夜盤與ADR偏多≠台股會漲」，不可據此預設開高必守。第二順位為結構性輪動是否延續(若在夜盤偏多線索下仍無法領先大盤，輪動將由「確認」升級為「持續」)，對照組為8/27領先的華邦電+2.48%、日月光+2.20%等中小型與封測標的。第三順位為籌碼兩端背離能否收斂(須見台指期空單實質回補或CDF未平倉回升)。第四順位為KDJ過熱的兩種情境(J值79.30距超買線僅0.70點：開高則直接進入超買區、改列短線過熱警訊；收黑則形成明確高檔背離)。⚠️⚠️今日為本週第2個台指選擇權結算日，衍生品跨日可比性再度受干擾。上方壓力2,425/2,435/2,443/2,470/2,510/2,535，下檔支撐2,410/2,402/2,391/2,390/2,384/2,375/2,336/2,226。</t>
        </is>
      </c>
      <c r="G115" s="50" t="inlineStr">
        <is>
          <t>Yahoo Finance / Bloomberg</t>
        </is>
      </c>
    </row>
    <row r="116">
      <c r="A116" s="53" t="inlineStr">
        <is>
          <t>2026-08-31</t>
        </is>
      </c>
      <c r="B116" s="53" t="inlineStr">
        <is>
          <t>NT$2,420（8/28收）</t>
        </is>
      </c>
      <c r="C116" s="54" t="inlineStr">
        <is>
          <t>+0.41%（8/28收）</t>
        </is>
      </c>
      <c r="D116" s="53" t="inlineStr">
        <is>
          <t>US$417.52（8/28收）</t>
        </is>
      </c>
      <c r="E116" s="53" t="inlineStr">
        <is>
          <t>15,026（8/28收）</t>
        </is>
      </c>
      <c r="F116" s="55" t="inlineStr">
        <is>
          <t>報告日2026-08-31(Mon)，涵蓋8/28(Fri)收盤。⭐台股層面是「防線守住、部分通過」的一日：2330官方收NT$2,420(+10、+0.41%、開2,440/高2,445/低2,410、量15,026張、額364.65億、52,492筆)，全日最低2,410與前報所訂檢核價分毫不差並獲買盤承接後反彈作收；⚠️惟前報完整條件為「守住2,410並收復2,425」，收盤2,420差5點未達成，本報判定為部分通過而不誇大為突破。⚠️⚠️但本報認為真正決定後續的不是這根紅K，而是台股收盤之後發生的事——台美之間存在一個尚未收斂的時間差，這是閱讀本報時必須優先理解的一點：台股8/28於台北時間13:30收盤後，美股8/28正規盤才開出全面重挫，費半-3.47%收11,469.66、TSM ADR -2.29%收$417.52、NVDA -4.57%收$217.55、那斯達克-0.52%收26,402.42、S&amp;P 500 -0.25%收7,711.76、道瓊-0.02%收53,559.99。因此本報所列台股價量、法人、技術指標全數為「美股重挫之前」的狀態，不可據以推論8/31台股反應。評級維持「中性」——不因台股收紅而上調，亦不因美股夜跌而預先下調。
(1)⭐價格與型態，前報第一號檢核條件以最精確的方式通過：8/28盤中最低2,410與檢核價完全相同，該價位遭測試後獲承接反彈10點收2,420。⭐型態較8/27明確改善：8/27是「收盤＝當日最低」的光頭光腳黑K，8/28雖同樣開高走低，但觸低後收在中段偏上並收紅，連續「收在最低」的惡化型態未重演。⚠️惟連續第2個交易日「開高不守」：8/27開2,430/高2,435，8/28開2,440/高2,445，兩日開盤與盤中高均創8/13以來新高卻均未守住，2,425-2,445確認為實質賣壓區；2,425已連續3個交易日未能收盤站上(8/26高2,425、8/27高2,435、8/28高2,445均曾越過，收盤分別為2,415/2,410/2,420)，該價的反壓性質已由「檢核價」升級為「確認有效的壓力」。⚠️另據8/28為富台期與摩台期結算日，午盤後漲勢受結算調節壓抑(來源：聯合新聞網)。
(2)⚠️⚠️美股8/28下跌的成因須與8/27的上漲成因分開理解，否則會誤判為單純獲利了結：直接催化劑是聯準會主席Kevin Warsh對通膨趨勢表達疑慮(明言夏季PCE與CPI雖優於預期，但不代表底層趨勢已實質改善)，屬總體利率面衝擊而非半導體基本面轉壞；疊加的產業面事件是Marvell財報優於預期並上調財測，股價卻仍重挫-10.3%——「好消息不漲」的型態自台股8/27延伸至美股8/28，是本週最值得追蹤的市場性格變化。⚠️⚠️費半8/28重挫-3.47%(-412.51點)，完全抹去8/27的+2.33%而有餘，距52週收盤高14,634.72(2026-06-22)的跌幅自-18.81%重新擴大至-21.63%——8/27才剛達成的「脫離-20%技術性熊市」判定，僅維持一個交易日即告失效，本報以1年日線序列獨立複核確認此一狀態變化。⭐平衡標註：TSM ADR的-2.29%明顯抗跌於費半-3.47%、NVDA-4.57%、LRCX-5.24%、KLAC-4.48%、AMAT-4.29%。
(3)⚠️⚠️ADR溢價出現本波最大單日壓縮，這是8/31補跌壓力的量化來源：溢價自+12.41%急降至+8.97%(-3.44pp)，成因為三項因素同向作用——ADR下跌-2.29%、台股上漲+0.41%、台幣升值使平價由$380.13升至$383.15。⭐判讀：溢價壓縮代表海外投資人對TSMC的定價已先行下修，而台股定價尚未跟上。ADR收盤三重自我檢核：427.30-9.78=417.52✓、427.30×(1-2.29%)=417.52✓、stockanalysis.com獨立確認$417.52/-$9.78/-2.29%/讀數時點Aug 28 2026 4:00 PM EDT✓。
(4)⭐籌碼面延續偏多但內部出現分歧：外資及陸資8/28買超3,032張(T86官方買賣超+3,032,289股)，為連續第3個交易日買超、3日合計12,737張、近5日累計淨買超9,965張(買3日/賣2日)；⚠️惟單日規模較8/27的4,501張再縮小32.6%，呈現遞減態勢(5,204→4,501→3,032)。⚠️⚠️投信本日是明確的空方：賣超1,765張為近5個交易日最大單日賣超且連續第3日賣超；自營商小幅賣超23張、終結連4日買超。三大法人分項四捨五入後加總+1,244張、TWSE官方合計欄換算+1,243張(差1張屬正常捨入誤差)。
(5)⚠️量能檢核本日未通過且與價格方向背離：8/28成交15,026張較8/27的19,214張萎縮21.8%，並跌破5日均量16,064張達6.5%，終結連2日站穩均量之上的紀錄。⚠️股價收紅之日出現量能萎縮屬「價漲量縮」，代表2,420一帶追價買盤不足，與8/26放量上漲(19,467張)的健康型態相反。⭐兩項緩和事實須並列：8/28為結算日、量能本就易受期現貨調節干擾；成交筆數自60,122降至52,492筆(-12.7%)、每筆平均張數自0.320降至0.286張，屬大單參與度下降而非散戶追高出貨。⚠️5日均量自16,843張降至16,064張(-4.6%)，成因為8/21的18,922張滾出窗口而8/28的15,026張滾入，屬窗口更替的機械效果與當日量縮的疊加。
(6)⚠️技術指標本日轉為「趨勢改善但動能過熱」的組合(TWSE官方序列2026-01-02~08-28共158筆計算)：⭐趨勢類全面改善——MACD柱狀圖+6.14→+7.34(連續第4日擴張、為8/13以來最高)，DIF+8.64→+10.16並站上10一線、DEA+5.57→+6.49，正乖離自3.07擴大至3.67。⭐動能類回升——RSI(14) 53.14→54.23、RSI(6) 56.87→60.27(+3.40、回升幅度為RSI(14)的3.1倍)，距超買區(70)尚有15.77點緩衝。⚠️⚠️但KDJ本日正式進入超買，這是前兩份日報連續預警的情境終於實現：K 64.00→68.42、D 56.35→60.37、J值79.30→84.52首度突破80超買門檻——⭐誠實對照，8/28日報寫明「J值79.30距離超買區僅0.70點……幾乎任何上漲都會使其進入超買」，預警完全兌現。⚠️關鍵判讀在於超買發生的時機極為不利：J值進入超買代表短線動能已被充分使用、向上緩衝空間耗盡，而此時美股當夜已重挫、期貨夜盤已指向-0.86%；歷史經驗上J值於超買區遭遇外部利空時回檔幅度容易被放大。⭐平衡標註：J值超買本身不是賣出訊號而是「風險報酬比轉差」的訊號，須待其自超買區回落並形成高檔背離才構成實質轉空。均線5MA 2,404/10MA 2,394/20MA 2,389/60MA 2,384/120MA 2,230，收盤2,420高於全部五條均線且多頭排列完整，10MA與20MA相距僅5點形成密集支撐帶。⭐布林通道本日回歸穩定：上軌2,442/中軌2,389/下軌2,336，寬度106.3點較8/27的107.1點幾無變化——⭐本報特別標註：8/27曾因7/30極端低價2,205滾出20日窗口而出現-44%的機械性收斂假象，本日窗口內無極端值進出，106點為通道寬度的真實水準，前一日的收斂不應延續解讀。⭐口徑驗證(每日必做、本日已執行並通過)：以同一序列回算8/27各指標得RSI(14) 53.14、RSI(6) 56.87、DIF+8.64/DEA+5.57/柱+6.14、K64.00/D56.35/J79.30、MA5 2,402/MA10 2,391/MA20 2,390/MA60 2,384/MA120 2,226、布林2,443/2,390/2,336、5日均量16,843張，與8/28已發布日報所載數值逐項完全相同，確認序列連續、無口徑漂移。
(7)⭐衍生品：台積電個股期CDF 202609日盤收2,429(+10、+0.41%、開2,440/高2,448/低2,421、量3,833口、結算價2,429、未平倉25,619口)，對現貨2,420維持正價差+9(與8/27完全相同)，日盤期貨未透露額外方向訊息。⚠️⚠️選擇權未平倉本日不可跨日比較，口徑須先行聲明：8/28(週五)為結算日且同日另有富台期與摩台期結算，台指選未平倉已全面重置——賣權61,636→42,600口(-30.9%)、買權58,254→41,994口(-27.9%)，雙邊合計119,890→84,594口(-29.4%)。因此P/C未平倉比自1.06降至1.01不代表籌碼結構轉變，而是結算後新基期的起始讀數。⭐本報既有口徑(2026-08-24已確立)：台指選週三與週五均為結算日，故P/C未平倉比僅在週一、週二、週四具備跨日可比性。⭐若單就8/28絕對水準判讀：1.01屬「多空未平倉均衡」的中性區間(賣權僅較買權多606口、多出不到1.5%)，並無極端訊號。⭐⭐最具前瞻價值的一項為期貨夜盤(依TAIFEX標記慣例，夜盤日期為該時段結束日)：CDF 202609於8/28夜盤(標記日期2026/08/31)收2,408(-21、-0.86%、開2,432/高2,435/低2,404、量1,363口)，台指期TX夜盤收45,900(-457、-0.99%、量35,867口)——夜盤已先行反映美股8/28費半-3.47%的重挫，且CDF夜盤低點2,404恰與5MA 2,404重合，此為8/31台股開盤的關鍵參考。
(8)⚠️供應鏈8/28全面回落但台股因時間差仍收紅，兩者的背離即為補跌壓力所在：⚠️美股收黑——AMKR -7.46%收$47.88(本日追蹤清單跌幅最大、回吐8/27的+6.90%而有餘、自8/17累計跌幅重新擴大至-21.89%)、ARM -6.33%收$239.05(跌幅第二大、屬高評價IP授權股對利率敏感)、LRCX -5.24%收$301.90、KLAC -4.48%收$175.54(設備四雄累計跌幅最深-14.68%)、NVDA -4.57%收$217.55(回吐8/27財報漲幅過半、惟仍高於財報前的$209.66達3.76%)、AMAT -4.29%收$461.67(本週累計跌逾5%、與Marvell同為拖累SMH的兩大來源)、000660 SK海力士-4.45%收165.3萬韓元、005930三星電子-3.38%收257,000韓元、INTC -2.85%收$89.47、AMD -2.33%收$465.58、ASML -2.24%收$1,696.16、AVGO -0.74%收$368.79、QCOM -0.36%收$164.19、MU -0.27%收$932.86。⭐美股逆勢收紅者僅AAPL +1.63%收$319.70(追蹤清單唯一收紅的美股、創本波新高)——⭐判讀：資金正自AI基礎建設向終端消費電子與AI曝險較低的標的輪動(AAPL、QCOM、MU三者相對費半的強度分別達5.10pp、3.11pp、3.20pp)，此對TSMC屬中性偏正面，蘋果為N3主力客戶。⭐台股供應鏈因時間差仍收紅：2454聯發科+3.10%收3,985(TWSE官方、本日台股清單漲幅最大、完全收復8/27的-2.03%)、3711日月光+2.64%收621.0(TWSE官方、連2日收紅創本波新高、領先2330達2.23pp)；⚠️2344華邦電-2.42%收181.5(TWSE官方、開188.5/高192.0創本波新高後一路走低收近當日最低、量放大至15.3萬張，高檔放量收黑為本日台股供應鏈最弱)。⚠️⚠️AMKR -7.46%與日月光+2.64%的完全相反走勢，是8/31台股封裝族群補跌壓力的具體來源。
(9)⚠️相對強弱連續第3個交易日落後大盤：加權指數8/28收46,331.45(+356.23、+0.77%)重新站回46,000關卡，2330 +0.41%落後0.36pp；⭐誠實標註：落後幅度已連2日收斂(0.84→0.52→0.36pp)，惡化程度正在減輕。⚠️⚠️「近1個月」欄位本日出現大幅跳升(2330自+2.55%升至+6.14%、加權自+5.37%升至+11.36%)，本報必須明確標註成因以免誤讀為動能轉強：此為滾動窗口的機械效果——1個月基準日自7/27移至7/28，而7/28-7/30正是本波最劇烈的下跌段(2330自2,350跌至2,200、加權自43,634跌至39,933)，低基期滾入使百分比大幅放大，並非8/28當日出現任何實質動能變化。YTD 2330 +52.7% vs加權+57.9% vs費半+55.7%(基準採2026-01-02收盤：2330 NT$1,585、加權29,349.81、SOX 7,367.47)。⚠️資料誠實標註：beta_60d 1.38為既有數值沿用，本報以TWSE官方序列對60日日報酬回歸未能複現該值(自行計算得約0.97)，因無法確認其原始口徑，故不予變更亦不宣稱已重算。
(10)⚠️評價位階續升：8/28 TWSE官方BWIBBU顯示P/E 28.05x(8/27為27.94x)、P/B 9.76x(9.72x)、殖利率0.91%(持平)、市值約NT$62.8兆，⭐本報已確認財報年/季欄位仍為115/2、與8/27同基準，故本日升幅純由股價上漲+0.41%所致、分母未變動，兩日數值可直接比較。⚠️P/E 28.05x位於5年第87百分位、10年第88百分位，P/B第91百分位——三項均處歷史高檔，對負面消息的容錯空間有限；PEG 0.82仍低於1，為唯一顯示成長性可支撐評價的指標。⚠️⚠️匯率連續第3個交易日升值且單日幅度最大：新台幣8/28收31.58(Yahoo TWD=X逐時序列16:00台北時點、實際讀數31.576)，自8/27的31.70升值約0.38%(前一日為0.28%)；相對8/13的32.12累計升值幅度自1.31%擴大至1.68%，依官方口徑(每升值1%約-40bps)估算毛利率逆風自約-52bps擴大至約-67bps——已相當於Q3毛利率指引區間(65-67%)約三分之一的寬度。⭐緩和因素為公司約75%的外幣避險比例可遞延並平滑部分衝擊。⚠️本日匯率變化與美股重挫方向一致且互相強化：台幣升值削弱以新台幣計價的獲利，ADR下跌反映海外定價下修。
(11)📅資料口徑與缺口聲明：全程TWSE/TAIFEX/Yahoo官方API取數，ADR收盤另經stockanalysis.com交叉確認(含讀數時點)，台股供應鏈個股(2344/3711/2454)另以TWSE STOCK_DAY官方序列複核。⚠️⚠️本報須主動聲明一項取數缺口與其處理方式：Yahoo日線序列本日對全部美股標的的8/28收盤欄位均為null(缺漏)，本報改採同一回應中meta.regularMarketPrice並逐一驗證其時間戳為2026-08-28 20:00 UTC(＝16:00 EDT正規盤收盤)後方予採用，非以盤中或盤後價冒充收盤；南韓標的(000660/005930)的meta時間戳為8/31盤中，故改採8/28官方日線收盤，以維持全報同一交易日口徑。⚠️匯率採Yahoo TWD=X逐時序列8/28 16:00台北時點讀數31.58，與前一日同法取得的8/27 31.70口徑一致、可直接比較(該法已以replay前一日已發布值31.697→31.70驗證)，正式值請以央行／台北外匯經紀公司公告為準。⚠️本報主動修正一項既有缺陷：HTML日報期貨選擇權區塊的「Put/Call Ratio」卡片標籤原硬編為「偏空(&gt;1=空力較強)」與固定紅色，會將1.01這種實質均衡的讀數誤標為偏空、且在比值小於1時會完全標錯，已改為依比值分段動態計算(PCR_LABEL)，作法與先前的BASIS_LABEL、F5D_LABEL、VOL_LABEL、BB_LABEL一致；同時為「最大痛苦點」卡片補上「(本報估算)」標記，使其與內文的估算聲明一致。
⭐綜合研判：維持「中性」。⭐三項未壞：五條均線(2,404/2,394/2,389/2,384/2,230)全數未破且多頭排列完整、外資連3日買超共12,737張、期貨維持正價差+9。⚠️三項未解：連3日落後大盤(惟落後幅度連2日收斂)、KDJ J值84.52進入超買而缺乏緩衝、量能跌破5日均量且價漲量縮。今日(8/31)判定標準：⚠️⚠️第一順位是「台股補跌幅度是否收斂於夜盤所反映的-0.9%之內」——本報將檢核價位設在5MA 2,404(恰與夜盤期貨低點2,404重合)與連2日守住的2,410：⭐若開低後能守住2,404-2,410區間並收紅或平盤，代表台股具備獨立於美股的承接力，時間差風險解除，ADR溢價的3.44pp壓縮將由ADR回升而非台股補跌來收斂；⚠️⚠️若跌破2,404並失守10MA 2,394與20MA 2,389的密集帶(相距僅5點)，則8/25-8/28的整段修復失效，下一道防線為60MA 2,384。⚠️第二順位為KDJ超買的放大效應(須追蹤J值是否自超買區回落並形成高檔背離)。⚠️第三順位為量價確認(若今日下跌且放量，屬賣壓實質釋放，性質較8/28的結算日量縮更為負面)。⭐第四順位為P/C未平倉比的可比讀數(8/31為週一、屬同一結算週期內，可與8/28的1.01直接比較，為本週首個具跨日可比性的讀數)。上方壓力2,425/2,435/2,442/2,445/2,470/2,510/2,535，下檔支撐2,410/2,404/2,394/2,389/2,384/2,375/2,336/2,230。</t>
        </is>
      </c>
      <c r="G116" s="53" t="inlineStr">
        <is>
          <t>Yahoo Finance / Bloomberg</t>
        </is>
      </c>
    </row>
    <row r="117">
      <c r="A117" s="50" t="inlineStr">
        <is>
          <t>2026-09-01</t>
        </is>
      </c>
      <c r="B117" s="50" t="inlineStr">
        <is>
          <t>NT$2,405（8/31收）</t>
        </is>
      </c>
      <c r="C117" s="57" t="inlineStr">
        <is>
          <t>-0.62%（8/31收）</t>
        </is>
      </c>
      <c r="D117" s="50" t="inlineStr">
        <is>
          <t>US$415.32（8/31收）</t>
        </is>
      </c>
      <c r="E117" s="50" t="inlineStr">
        <is>
          <t>32,793（8/31收）</t>
        </is>
      </c>
      <c r="F117" s="52" t="inlineStr">
        <is>
          <t>報告日2026-09-01(Tue)，涵蓋8/31(Mon)收盤。⚠️⚠️本報最重要的結構聲明必須放在最前面，否則本日所有價量數字都會被誤讀：8/31是一個「兩股力量同時作用」的交易日——(1)外溢力量：美股8/28費半-3.47%、TSM ADR -2.29%，台股8/28收盤未反映，8/31開盤跳空低開25點即為補跌；(2)機械力量：8/31收盤為MSCI季度調整生效日，台積電於MSCI台灣指數權重調降0.79個百分點至56.61%(為本次台股成分股中調降幅度最大者)，被動資金於收盤集中調節。因此本日的「成交量」與「外資買賣超」兩項數字一律不得作為市場意願的證據。評級維持「中性」。
(1)⭐價格與型態，前報第一號檢核的結果為「盤中破、收盤守其一」，本報逐條回覆不含糊：2330官方收NT$2,405(-15、-0.62%、開2,395/高2,405/低2,375、量32,793張、額785.64億、106,512筆)。前報明訂「檢核價位設在5MA 2,404(恰與夜盤期貨低點重合)與連2日守住的2,410」，⚠️8/31盤中最低2,375同時跌破這兩道防線達29點與35點，亦一度失守10MA 2,394與20MA 2,389的密集帶——即前報所訂「若跌破2,404並失守10MA與20MA密集帶，則8/25-8/28的整段修復失效」的負面條件，在盤中確實成立過；⭐惟收盤2,405重新站回2,404(差1點)、10MA 2,394與20MA 2,391之上，未能站回2,410(差5點)。⭐⭐型態面明顯偏正：收盤價＝當日最高價，形成無上影線的長下影紅K(開2,395低於收2,405、實體10點為紅、下影線20點、上影線0點)，為本波第四次「收在當日最高」(前三次為8/20、8/21、8/25)。⚠️惟型態意義須打折——8/31尾盤同時是MSCI調整的集中撮合時點，「收在最高」有多少來自被動買盤、有多少來自市場承接，本報無法分離量化。⭐支撐測試品質良好：盤中低2,375同時是8/20收盤、8/24收盤、8/26開盤兼當日最低價所在，為本波第四度守住。
(2)⭐⭐台美時間差本日收斂完成，且補跌幅度優於預期：美股8/28費半-3.47%、ADR -2.29%、期貨夜盤已先行反映-0.86%，而台股8/31實際僅-0.62%、盤中最深-1.86%，補跌幅度小於夜盤所隱含者、亦未及費半跌幅的55%——時間差補跌風險大致消化完畢，未出現放大效應。⭐更關鍵的是上游壓力來源已消失：美股8/31半導體止跌回升，費半+0.57%收11,535.05、NVDA +1.48%收$220.78、美光+2.77%收$958.73、高通+3.83%收$170.48。⚠️惟費半僅收復8/28跌幅的16%，距52週收盤高14,634.72(2026-06-22)仍-21.19%、續處-20%技術性熊市之內，需再漲1.5%(至11,707.78)方能脫離。⭐結構面正面訊號：本日費半上漲而美股大盤收黑(S&amp;P 500 -0.33%收7,686.14、那斯達克-0.12%收26,370.89、道瓊-0.7%收53,185.90，來源CNBC)，半導體與大盤呈正向背離，為8/18以來首見；⭐月度統計亦提供緩衝——8月全月S&amp;P 500 +2.6%、那斯達克+3.9%為5月以來首見月線收紅，NVIDIA全月約+10%、美光全月+16%以上(來源CNBC)。
(3)⚠️⚠️MSCI季度調整是本日量能與籌碼兩項數字同時異常的共同成因，本報將其視為判讀前提而非事後補充：台股在MSCI全球市場指數權重由3.08%上調至3.13%、新興市場指數由26.60%上調至26.85%、亞洲除日本指數由29.75%上調至30.03%，三項全數調升；⚠️惟台積電為本次台股成分股中權重調降幅度最大者，調降0.79個百分點至56.61%。MSCI台灣指數同時新增南亞科、華邦電、群聯、台燿、南電、景碩六檔，刪除六檔，成分股維持77檔(來源：MSCI季度調整公告，經濟日報／聯合新聞網)。⚠️直接後果有三：2330成交量32,793張較8/28的15,026張暴增118.2%、為5日均量20,008張的164%、成交額785.64億；外資賣超4,554張終結連3日買超；全市場加權指數成交額衝上NT$1.289兆(8/28為1.069兆)。⭐對照組可佐證此為機械效應而非台積電個別因素：同為MSCI新增成分股的華邦電(2344)當日量能自153,444張暴增至398,679張(+159.8%)，股價卻仍收紅+0.55%。⭐本報的紀律：真正的量能與籌碼檢核延到9/1——量能能否回落至2萬張以下、外資是否回到買方。
(4)⚠️籌碼面三大法人全面轉為賣方，惟成因同上不可作意願解讀：外資及陸資8/31賣超4,554張(T86官方-4,554,240股)，終結連續3個交易日買超；投信賣超961張(連續第2日賣超)；自營商賣超179張(連續第2日賣超)。三大法人分項四捨五入後加總-5,694張，與TWSE官方合計欄換算值-5,694張完全一致(本日無捨入差異)。⭐近5個連續交易日外資序列為-1,151/+5,204/+4,501/+3,032/-4,554張(8/25~8/31)，5日累計仍為淨買超+7,032張。
(5)⚠️技術指標四項同步轉弱，且無一例外，這是本報認為比價格更值得留意的一點(TWSE官方序列2026-01-02~08-31共159筆計算)：MACD紅柱自+7.34收縮至+5.68(-22.6%)，終結連4日擴張——DIF自+10.16微降至+10.04(為8/24以來首次下降)、DEA自+6.49續升至+7.20，兩線正乖離自3.67收斂至2.84；⭐判讀為「DEA追趕DIF」的機械性收斂而非DIF轉跌造成的動能反轉，且柱狀圖絕對水位+5.68仍高於8/26的+5.57、雙線穩居零軸之上，紅柱結構未破。RSI(14) 54.23→52.26、⚠️RSI(6) 60.27→52.79(-7.48點、回落幅度為RSI(14)的3.8倍)，短天期動能流失明顯快於中期，為8/25起本波反彈中首次出現的分歧，惟兩者均未跌破50。⭐KDJ則屬正面消化，前兩份日報預警的超買情境獲得健康解除：K 68.42→66.83、D 60.37→62.52、J值84.52→75.43(-9.09點)正式退出80超買門檻，且是在股價僅下跌-0.62%的情況下完成——超買解除未付出等比例的價格代價；金叉結構維持(K高於D)、未形成高檔背離。⚠️均線出現本波第一道實質裂痕但僅一條：收盤2,405低於新5MA 2,410(差5點)為8/25以來首次收盤失守5日線，⭐其餘四條全數守住且多頭排列完整(10MA 2,394/20MA 2,391＝布林中軌/60MA 2,384/120MA 2,235)。⭐布林通道2,444/2,391/2,338，寬度105.2點較8/28的105.9點幾乎持平(-0.7%)；⭐滾動窗口查核(每日必做)：20日窗口本日滾出8/03的2,370、滾入8/31的2,405，兩者均非極端值，故本次寬度與中軌變動屬正常推移、非窗口機械效果。⭐口徑驗證(每日必做、本日已執行並通過)：以同一序列回算8/28各指標得RSI(14) 54.23、RSI(6) 60.27、DIF+10.16/DEA+6.49/柱+7.34、K68.42/D60.37/J84.52、MA5 2,404/MA10 2,394/MA20 2,389/MA60 2,384/MA120 2,230、布林2,442/2,389/2,336、5日均量16,064張，與8/31已發布日報所載數值逐項完全相同，確認序列連續、無口徑漂移。⚠️5日均量20,008張本日受MSCI量能污染，在9/4之前不宜作為量能檢核基準。
(6)⚠️衍生品：台積電個股期CDF 202609日盤收2,402(-27、-1.11%、開2,400/高2,408/低2,381、量4,572口、結算價2,402、未平倉24,999口)，⚠️期貨端三項同步轉弱且方向與現貨的「收在最高」相反——跌幅-1.11%大於現貨的-0.62%、對現貨由正價差+9轉為逆價差-3(為8/25以來首見逆價差)、未平倉連續第5個交易日減少(-620口)。⭐選擇權：台指選未平倉賣權61,681口/買權64,172口、P/C未平倉比0.96(TAIFEX官方96.12%)，為本報追蹤區間內首次跌破1.00、買權未平倉首度超越賣權(多2,491口、約4.0%)。⚠️⚠️口徑聲明必須放在解讀之前：8/28(週五)為選擇權結算日、未平倉已全面結清，8/31為重建首日(雙邊合計自84,594口回升至125,853口、+48.8%)，故比率的「變化幅度」不具跨日可比性，本報僅陳述絕對水位落在100%之下這一事實，不從中推導情緒轉多；重建首日的分布易受單一大額交易影響，9/1(週二)相對8/31的變化才是本週首個有意義的讀數。⚠️本週結構提醒：9/2(週三)與9/4(週五)各有一次週選結算，9/16(第三個週三)為9月月結算，屆時台指期與個股期近月合約將由202609換至202610。⭐⭐今晨夜盤(依TAIFEX標記慣例，夜盤日期為該時段結束日，故標記2026/09/01者即8/31 15:00至9/1 05:00)：CDF 202609收2,395(-7、開2,404/高2,408/低2,390、量838口)，對8/31現貨收盤2,405折價10點，指向9/1開盤約-0.3%；台指期TX 202609夜盤收45,978(+1、幾乎持平、量25,137口)——⚠️個股期弱於大盤期貨，夜盤的偏弱屬台積電個別而非系統性。
(7)⚠️供應鏈8/31呈現「美股半導體全面回升、台股與封測族群回落」的分化：⭐美股收紅——QCOM +3.83%收$170.48(追蹤清單當日最大漲幅、為2026-07-23以來最高收盤與8月全月最高收盤，已查核2年日線序列確認；市場歸因於8/31發表Horizon Ultra AI PC與Adobe採用HUMAIN基礎設施)、MU +2.77%收$958.73(⚠️本報明確不稱其為波段新高——8/20的$974.33與8/21的$966.78均高於本日、8/17修正起點為$1,011.75)、NVDA +1.48%收$220.78(止住8/28的-4.57%、自財報前累計仍+5.3%；⚠️距2026-05-14歷史收盤高$235.74仍-6.3%，從未創歷史新高)、ARM +1.20%收$241.91、AMD +1.10%收$470.72、005930三星+1.17%收260,000韓元、000660 SK海力士+1.27%收1,674,000韓元、AVGO +0.42%收$370.34、INTC +0.04%收$89.51；⚠️美股收黑——AAPL -0.89%收$316.85(與8/28的角色完全互換：8/28是費半重挫時獨自收紅、8/31是費半回升時獨自收黑)、AMAT -0.71%收$458.39(連2日為設備四雄最弱)、LRCX -0.14%收$301.49、KLAC -0.05%收$175.45、ASML -0.01%收$1,696.01(近乎完全持平)。⚠️⚠️封測次族群為本日唯一全面收黑的類別，且為新增追蹤的分歧訊號：3711日月光-5.96%收584.0(TWSE官方、-37.00元、開601.0＝當日最高/低565.0/量33,186張，台股清單當日最大跌幅、回吐8/27與8/28連2日漲幅而有餘、自8/17由+0.98%反轉為-5.04%)、AMKR -1.21%收$47.30(改寫8月最低收盤、自8/17累計-22.84%為整份清單最重)。⚠️日月光並非本次MSCI增刪名單中的個股，其跌幅不能全歸因於指數調節；本報未查得單一明確利空，較合理推論是連2日大漲(累計+4.9%)後的獲利了結疊加調整日的流動性衝擊。⚠️兩者同為CoWoS外包封測夥伴，同步弱勢反映市場對「先進封裝產能是否過度擴充」的疑慮——⚠️⚠️此一疑慮與台積電同日公布的CoWoS擴充路線圖方向相反，本報並列不擇一。⭐台股其餘：2344華邦電+0.55%收182.5(逆勢收紅、惟量能暴增159.8%至398,679張屬MSCI新增成分股的建倉效應)、2454聯發科-1.51%收3,925(回吐8/28的+3.10%約半數，⭐惟盤中低3,820於尾盤大幅收復，與2330同樣呈現「盤中深跌、尾盤收復」的日內結構)。
(8)⭐公司層級本日唯一正面事件——台積電先進封裝路線圖獲公開更新：研發副總經理徐國晉8/31於ITF Taiwan 2026技術論壇表示，CoWoS今年最大系統中介層尺寸已達5.5倍光罩並進入量產、2029年預計突破14倍；CPO(共同封裝光學)相關技術今年亦開始量產、商業化落地加速。3DFabric平台涵蓋CoWoS(die-to-die水平連接、2.5D超大系統擴充)、InFO、SoIC(主動晶片垂直堆疊)與CPO(電子晶片EIC與光子晶片PIC整合)四項(來源：壹蘋新聞網／經濟日報)。⭐對估值的意涵：中介層尺寸自5.5倍朝14倍推進，直接對應單顆封裝可整合的HBM顆數與運算晶片面積，是CoWoS單價與長期毛利率的結構性支撐。📅SEMICON Taiwan 2026相關論壇自8/31國際半導體週起登場，主展期9/2至9/4於台北南港展覽館，規模逾1,300家展商、4,300攤位、65國、預估逾10萬名專業人士；SEMI已偕台積電與日月光成立SEMI 3DIC先進製造聯盟(3DICAMA)，台積電COUPE矽光子平台亦於2026年進入量產(來源：Focus Taiwan／SEMI／PR Newswire)。
(9)⚠️相對強弱連續第3個交易日落後大盤，惟落後幅度逐日收斂：加權指數8/31收46,128.47(-202.98、-0.44%)，2330 -0.62%落後0.18pp；⭐落後幅度序列為0.52pp(8/27)→0.36pp(8/28)→0.18pp(8/31)，連3日收斂。⭐5日區間2330 +1.26% vs加權+3.05%(基準均為往前第5個交易日8/24：2330收2,375、加權44,762.32)。⚠️⚠️「近1個月」欄位本日出現與當日走勢完全無關的大幅反轉，本報必須標註成因以免誤讀：2330自+6.14%一日之內反轉為-0.82%(-6.96pp)、加權自+11.36%降至+6.98%(-4.38pp)——此為滾動基準日移動造成的機械效果：本欄1個月報酬採「日曆同日減一個月」為基準(非20個交易日)，基準日自7/28(2330收2,280、加權41,603.36)移至7/31(2330收2,425、加權43,119.75)，而7/31當日2330單日大漲220點(+9.98%)、加權大漲3,186點(+7.98%)，基準一次墊高6.4%。⚠️判讀紀律：1個月報酬轉負不代表中期動能轉弱，5日報酬與YTD才是未受基準跳動干擾的讀數。YTD 2330 +51.7% vs加權+57.2% vs費半+56.6%(基準採2026-01-02收盤：2330 NT$1,585、加權29,349.81、SOX 7,367.47)。⚠️資料誠實標註：beta_60d 1.38為既有數值沿用，本報以TWSE官方序列對加權指數做20/30/60/90/120日日報酬回歸分別得1.24/1.03/0.97/0.99/1.02，均無法複現1.38，口徑不明，故依「複現不了就不動」原則沿用並標註限制，不宣稱已重算。
(10)⚠️評價位階：8/31 TWSE官方BWIBBU顯示P/E 27.88x(8/28為28.05x)、P/B 9.70x(9.76x)、殖利率0.91%(持平)、市值約NT$62.4兆，⭐本報已確認財報年/季欄位仍為115/2、與8/28同基準，故本日降幅純由股價下跌-0.62%所致、分母未變動，兩日數值可直接比較。⚠️P/E 27.88x仍位於5年第87百分位、10年第88百分位，P/B第91百分位——⚠️⚠️須並列的口徑保留：這些百分位是在舊EPS基準下校準的，2026-08-14自115/1切換至115/2後會系統性高估位階，本報查不到重算依據，故明說「尚未依新基準重算、僅供方向性參考」，不自行編造新的百分位。⚠️即使接受此保留，27.88x仍顯著高於5年均值18.5x與10年均值16.2x，且本波自8/24低點以來的反彈使位階不降反升——這是本報認為2,425-2,445區間連續4個交易日未能收盤站上的基本面成因。⭐PEG 0.81(&lt;1)為唯一偏正面的評價指標。⭐匯率本日反轉、方向對毛利率偏正面：新台幣8/31收31.70(Yahoo TWD=X逐時序列16:00台北收盤時點、實際讀數31.695)，自8/28的31.58貶值約0.38%，終結連續3個交易日升值、貶幅恰與前一日升幅完全相同；相對8/13的32.12累計升值幅度自1.68%收斂至1.31%，依官方口徑(每升值1%約-40bps)估算毛利率逆風自約-67bps縮小至約-52bps、單日回補約15bps。⚠️惟單日0.38%不足以改變趨勢判斷，-52bps仍約當Q3毛利率指引區間(65-67%)四分之一的寬度；⚠️9/1今晨09:00讀數已回到31.62(盤中、隨時變動、非收盤價)，升值方向有再度恢復之虞。⭐ADR溢價自+8.97%微升至+9.49%(平價5×2405÷31.70＝379.34、溢價415.32÷379.34-1)，⚠️成因為台股跌幅-0.62%略大於ADR的-0.53%加上台幣貶值拉低平價分母，非ADR追價轉強，本報不將其讀為需求訊號。
(11)📅資料口徑與缺口聲明：全程TWSE/TAIFEX/Yahoo官方API取數，ADR收盤另經stockanalysis.com交叉確認($415.32/-$2.20/-0.53%/前收$417.52/時點2026-08-31 4:00 PM EDT)，台股供應鏈個股(2344/3711/2454)另以TWSE STOCK_DAY官方序列複核。⭐本日Yahoo日線對8/31美股收盤欄位均有值(與8/28全面null的情況不同)，且各檔meta.regularMarketTime均為2026-08-31 20:00 UTC(＝16:00 EDT正規盤收盤)，故直接採日線收盤；⚠️南韓標的(000660/005930)的meta時間戳為9/1盤中，故一律改採8/31官方日線收盤，以維持全報同一交易日口徑。⚠️匯率採Yahoo TWD=X逐時序列8/31 16:00台北時點讀數31.695→31.70，與前一日同法取得的31.58口徑一致、可直接比較；ADR平價依本報既有慣例採已四捨五入至小數2位的公告匯率為分母，正式匯率請以央行／台北外匯經紀公司公告為準。⭐本報主動修正一項既有缺陷：分析師共識區塊的「上漲空間」欄位長期硬編為+22.87%，其分母是7/27收盤$399.09，但卡片上僅顯示百分比、不顯示基準日，讀者會誤讀為相對最新股價的上行空間；已改以8/31收盤$415.32重算為+18.07%(490.34/415.32-1)，並在註解標明今後每日隨ADR收盤重算。
⭐綜合研判：維持「中性」。⭐三項未壞：四條均線(2,394/2,391/2,384/2,235)全數未破且多頭排列完整、補跌幅度-0.62%小於夜盤隱含的-0.86%與費半的-3.47%、上游壓力來源已消失(美股半導體8/31止跌回升)。⚠️三項未解：收盤失守新5MA 2,410、技術指標四項同步轉弱、期貨轉為逆價差且未平倉連5日減少。今日(9/1)判定標準：⚠️⚠️第一順位改為「MSCI效應是否為一次性」——⭐若量能回落至2萬張以下的常態區間、且外資回到買方或賣超收斂至1,000張以內，即確認為一次性事件、8/25以來的修復結構完好；⚠️⚠️若量能仍在3萬張以上或外資續賣超逾3,000張，須改判為真實籌碼易主，並重新評估整段修復的有效性。⚠️第二順位為均線密集帶的第二次測試：10MA 2,394、20MA 2,391、60MA 2,384三線壓縮於10點區間內構成本波最厚支撐，⭐8/31盤中低2,375曾一次跌破整帶再全數收復代表承接力仍在，⚠️但也代表它已被實測過一次、再測時強度會遞減；⚠️⚠️若今日收盤跌破60MA 2,384，三線同時失守、8/25-8/28的整段修復正式失效，下一道防線直落布林下軌2,338與120MA 2,235。⚠️第三順位為本週的事件密度：9/2與9/4各有一次台指選週結算、SEMICON Taiwan 9/2-9/4登場、8月營收須於9/10前公布(Q3指引達標須月均約NT$4,851億、7月的4,675.81億仍低3.6%)。上方壓力2,410/2,425/2,435/2,444/2,445/2,470/2,510/2,535，下檔支撐2,404/2,394/2,391/2,384/2,375/2,338/2,235。</t>
        </is>
      </c>
      <c r="G117" s="50" t="inlineStr">
        <is>
          <t>Yahoo Finance / Bloomberg</t>
        </is>
      </c>
    </row>
    <row r="118">
      <c r="A118" s="53" t="inlineStr">
        <is>
          <t>2026-09-02</t>
        </is>
      </c>
      <c r="B118" s="53" t="inlineStr">
        <is>
          <t>NT$2,440（9/1收）</t>
        </is>
      </c>
      <c r="C118" s="54" t="inlineStr">
        <is>
          <t>+1.46%（9/1收）</t>
        </is>
      </c>
      <c r="D118" s="53" t="inlineStr">
        <is>
          <t>US$414.00（9/1收）</t>
        </is>
      </c>
      <c r="E118" s="53" t="inlineStr">
        <is>
          <t>31,855（9/1收）</t>
        </is>
      </c>
      <c r="F118" s="55" t="inlineStr">
        <is>
          <t>報告日2026-09-02(Wed)，涵蓋9/1(Tue)收盤。⚠️⚠️本報最重要的結構聲明必須放在最前面：9/1是一個「台股大漲、美股隨後大跌」的錯開交易日，兩者資訊時點相差約12小時，混在一起讀會得到完全錯誤的結論——(1)台股端：2330收2,440(+1.46%)為7/16以來最高收盤、外資反手買超5,731張、加權指數收46,948.72(+1.78%)，聯發科漲停鎖死；(2)美股端：台股收盤後，費半-2.14%、設備四雄全黑、VIX +9.52%。因此本報所有台股價量與籌碼數字，均為「尚未反映美股9/1利空」的狀態。評級自「中性」上調為「中性偏多」。
(1)⭐⭐價格與型態，前報第一號檢核的結果為「價格端超額達成、量能端字面未過但實質過關」，本報逐條回覆不含糊：2330官方收NT$2,440(+35、+1.46%、開2,395/高2,440/低2,390、量31,855張、額774.63億、65,271筆)。前報明訂「9/1第一順位檢核：量能能否回落至2萬張以下、且股價站回5MA 2,410之上」。⭐價格端不僅過關且超額：收2,440高於5MA 2,410達30點，並越過前報列為「連4個交易日未能收盤站上」的關鍵反壓2,425(超出15點)與8月全月最高收盤2,435(8/13)，為2026-07-16(收2,470)以來最高收盤、相隔33個交易日。⭐型態面：收盤價＝當日最高，連續第2個交易日無上影線，為8月以來第6次(8/12、8/20、8/21、8/25、8/31、9/01)。⚠️惟兩點保留須並列：盤中最高2,440並未超越8/28的盤中高2,445(低5點)，日內新高尚未成立、突破目前僅成立於收盤價這一個口徑；且全日振幅僅50點，最低2,390較8/31的2,375高15點。
(2)⚠️量能端字面未過但本報不採其利空結論，並給出三項反證：31,855張較8/31的32,793張僅減2.9%，仍高於5日均量23,671張達34.6%，未達前報所訂「回落至2萬張以下」的門檻；前報曾訂「若量能仍在3萬張以上須改判為真實籌碼易主」。⭐⭐本報明確不採該字面結論：(a)對照組——同為MSCI新增成分股、8/31量能暴增159.8%的華邦電(2344)，9/1量能自398,679張回落至136,606張(-65.7%)，機械性被動調節確已於8/31單日結束；華邦電為被動資金「買進建倉」方、台積電為「賣出減碼」方，兩者在同一機制下同時開始也應同時結束。(b)成交筆數——8/31為106,512筆、平均每筆0.308張，9/1降至65,271筆、平均每筆0.488張(+58.4%)，單筆規模大幅放大，與被動基金收盤集中撮合產生大量小額成交的型態相反，較符合法人整筆承接。(c)方向——高量伴隨股價+1.46%與外資買超5,731張，量價同向而非背離。⭐結論：9/1的31,855張為真實換手，「籌碼易主」確實發生，但方向是外資買進而非賣出。
(3)⭐⭐本日台股大漲有明確且可查證的單一催化劑，這在近兩週行情中是第一次：輝達(NVIDIA)宣布以35億美元認購聯發科海外可轉換公司債(ECB)，Alphabet亦參與認購；雙方同時宣布為期十年的AI合作藍圖，聯發科將採用NVIDIA NVLink Fusion平台，協助雲端服務商開發客製化XPU、打造機櫃級AI工廠(來源：聯合新聞網/工商時報/Newtalk新聞/中時新聞網，輝達8/31公告、台股9/1反應)。⭐市場反應極端：聯發科(2454)開盤即跳空漲停並鎖死全日(開＝高＝低＝收4,315、+390元、+9.94%)，排隊買單逾2.6萬張而實際成交僅4,932張，買單為成交量5倍以上。⭐對TSMC的意涵屬結構性正面：客製化XPU的設計商自博通擴大至聯發科，而無論訂單落在何方，先進製程投片與CoWoS封裝需求最終仍歸TSMC——這是TSMC在ASIC賽道上的結構性優勢。⚠️保留：本案為股權與技術合作，尚未揭露具體晶片投片時程與量體，本報不計入近期營收預估。
(4)⚠️⚠️本報第一順位風險：新一輪台美時間差已於本日產生，方向與8/31那次相反——台股收盤後美股才開盤並全面走弱。費城半導體指數9/1收11,288.61(-246.44點、-2.14%)，設備四雄全數收黑且幅度整齊(LRCX -3.74%收$290.20、AMAT -3.61%收$441.85、KLAC -2.60%收$170.89、ASML -1.82%收$1,665.14)，客戶端亦普遍走弱(ARM -2.93%、AMD -2.36%、QCOM -2.27%、NVDA -1.51%)，戴爾重挫-6.80%收$425.00。⭐成因經查證屬總經面而非半導體個別利空：全球公債遭拋售、各國政府借貸成本升至數十年高點，市場藉此對高本益比AI概念股的折現率重新定價(來源：24/7 Wall St./路透)；佐證是跌勢並非半導體單獨發生——S&amp;P 500 -0.71%收7,631.47、那斯達克-1.03%收26,099.77、道瓊-0.79%收52,766.88、VIX自14.92升至16.34(+9.52%)。⭐唯一緩衝是TSM ADR相對抗跌：-0.32%僅為費半跌幅的15%，蘋果+2.61%逆勢收紅。⚠️誠實聲明：媒體報導引述者多為盤中跌幅(如英特爾一度-3%，收盤實為-0.60%)，本報一律以Yahoo官方日線收盤為準。
(5)⭐籌碼面三大法人全面轉為買方：外資及陸資9/1買超5,731張(T86官方+5,730,863股)，一舉反轉8/31的賣超4,554張；投信買超104張(官方+103,869股)、自營商買超131張(官方+130,565股)。三大法人分項四捨五入後加總+5,966張，TWSE官方合計欄換算為+5,965張，兩者差1張係各項捨入所致，本報依既有慣例採分項加總以與頁面卡片動態計算一致。⭐近5個連續交易日外資序列為+5,204/+4,501/+3,032/-4,554/+5,731張(8/26~9/01)，5日累計淨買超+13,914張(買4日/賣1日)。
(6)⭐技術指標四項全面轉強，與8/31的「四項同步轉弱」完全對稱，惟已出現過熱訊號(TWSE官方序列2026-01-02~09-01共160筆計算)：MACD紅柱自+5.68大幅擴張至+8.68(+52.8%)，不僅收復8/31的收縮更高於8/28的+7.34、創本波紅柱新高——DIF自+10.04躍升至+12.62(+2.58、為8/25以來單日最大升幅並創本波新高)、DEA自+7.20升至+8.29，兩線正乖離自2.84擴大至4.34；DIF上升速度大於DEA，乖離擴大而非收斂，與8/31的「DEA追趕DIF」完全相反。RSI(14) 52.26→56.26、RSI(6) 52.79→64.96(+12.17點、升幅為RSI(14)的3.0倍)，⚠️RSI(6)已重新進入偏熱區間(距70僅5.04點)。⚠️⚠️過熱訊號在KDJ：K 66.83→76.13、D 62.52→67.06、J值75.43→94.27(+18.84點)，不僅重回80超買區更直接衝上90之上，為本報追蹤區間內最高讀數(前高為8/28的84.52)；⚠️8/31日報所記錄的「J值健康消化」成果在單日內即被完全抹去並超越。⭐均線結構單日內完全修復並轉為全面多頭：收盤2,440重新站上全部五條均線(5MA 2,418/10MA 2,400/20MA 2,397＝布林中軌/60MA 2,385/120MA 2,240)，8/31失守5日線的唯一裂痕已修復，五線仍呈完整多頭排列。⭐口徑驗證(每日必做、本日已執行並通過)：以同一序列回算8/31各指標得RSI(14) 52.26、RSI(6) 52.79、DIF+10.04/DEA+7.20/柱+5.68、K66.83/D62.52/J75.43、MA5 2,410/MA10 2,394/MA20 2,391/MA60 2,384/MA120 2,235、布林2,444/2,391/2,338、5日均量20,008張，與8/31已發布日報(2026-09-01版)所載數值逐項完全相同，確認序列連續、無口徑漂移。
(7)⚠️⚠️布林通道本日的「收斂」是機械效果而非波動下降，本報依例查核滾動窗口並明確標註，請勿據以判斷市場趨於平靜：寬度自105.2點降至91.5點(-13.0%)。20日窗口本日滾出8/04的2,320(該值為舊窗口的最低價、低於當時中軌2,391達71點)、滾入9/01的2,440。⭐分解可證：僅移除8/04一筆、尚未加入新值時，寬度即自105.19降至84.72(-19.5%)；再加入2,440後回升至91.52(+8.0%)——亦即新收盤價實際上是在把通道推寬，收窄全部來自舊極端值滾出。⭐反證：若保留8/04改用21日窗口計算，寬度為110.8點、較8/31更寬。⭐窗口最低價自2,320上移至2,350、下軌自2,338升至2,351，這才是本日通道變化的實質內容。⚠️位置面須留意：收盤2,440距上軌2,443僅3點，價格已貼上通道上緣，短線向上空間在技術上被壓縮。⚠️5日均量23,671張仍含8/31(32,793張、MSCI污染)與9/1(31,855張)兩個高量日，在9/7之前不宜作為量能常態基準。
(8)⭐衍生品：台積電個股期CDF 202609日盤收2,443(+41、+1.71%、開2,398/高2,443/低2,395、量5,248口、未平倉24,169口)，⭐期貨端方向與現貨一致且更強——漲幅+1.71%大於現貨的+1.46%、對現貨自8/31的逆價差-3轉為正價差+3、未平倉續減830口。⚠️反向訊號在選擇權：台指選未平倉賣權82,948口/買權75,379口、P/C未平倉比1.10(TAIFEX官方110.04%)，自8/31的0.96重新站回100%的多空分界之上；拆解可見不對稱——賣權未平倉+21,267口(+34.5%)、買權+11,207口(+17.5%)，賣權建倉速度接近買權2倍。⭐口徑聲明與8/31相反、本日的變化「具備」跨日可比性：8/28(週五)為結算日、8/31為重建首日故其變化幅度不可用；而8/31與9/1同為非結算日，兩者之間的變化是本週第一個有意義的讀數。⭐判讀：在加權指數大漲1.78%的同日資金反而加速建立賣權部位，本報判定較符合「持股者買進保護性賣權」的避險需求而非新增看空押注，理由是同日期貨呈正價差且期貨漲幅大於現貨；⚠️保留：本報無法自未平倉總量區分「保護性買進」與「投機性賣出」，此為推論而非查證事實。⚠️⚠️本週結構提醒：9/2(週三、即本報付印日)為本週第一次週選結算、9/4(週五)為第二次，兩日未平倉將再度重置，故9/1相對8/31這個讀數可能是本週唯一一組乾淨的可比數據；9/16(第三個週三)為9月月結算。⭐⭐今晨夜盤(依TAIFEX標記慣例，夜盤日期為該時段結束日，故標記2026/09/02者即9/1夜間至9/2清晨)：CDF 202609收2,425(-17、-0.70%、高2,434/低2,423、量1,697口)，已先行反映美股9/1跌勢，對現貨2,440隱含約-0.6%，指向9/2開盤走低約15點。
(9)⚠️供應鏈9/1呈現「台股全面走強、美股全面走弱」的時區性分化，此為本日最須注意的判讀陷阱：⭐台股收紅——2454聯發科+9.94%漲停收4,315(輝達35億美元入股)、3711日月光+4.45%收610.0(TWSE官方、+26.00元、開588.0/高615.0/低582.0、量26,066張，收復8/31的-5.96%約四分之三，⭐直接驗證本報前一日「8/31重挫屬獲利了結疊加調整日流動性衝擊而非基本面利空」的推論)；⚠️台股收黑——2344華邦電-3.56%收176.0(量能-65.7%、屬被動買盤消失後的自然回落)。⚠️美股全面收黑(除蘋果外)——AAPL +2.61%收$325.13(⭐本日追蹤清單美股最大漲幅、唯一漲逾1%者，自8/17累計+6.57%已超越高通成為本波累計報酬最高者，連續第3個交易日與半導體族群反向；⭐與本日總經解釋一致：蘋果評價倍數低於AI半導體族群，在折現率重評中受衝擊較小)、AVGO -0.18%收$369.68(⭐美股半導體跌幅最小、相對強度1.96pp)、INTC -0.60%收$88.97、NVDA -1.51%收$217.44、ASML -1.82%、QCOM -2.27%、AMD -2.36%、KLAC -2.60%、MU -2.64%收$933.44(回吐8/31的+2.77%全部漲幅、為連2日相對強勢後首次落後)、ARM -2.93%、AMKR -3.32%收$45.73(連3日下跌、自8/17累計-25.40%為清單最重；⚠️已查核2年日線，上次收在此價之下為2026-07-29的$42.73，故為近5週低點而非長期低點)、AMAT -3.61%、LRCX -3.74%。⚠️⚠️封測兩檔完全背離達7.8pp(日月光+4.45% vs Amkor -3.32%)，⭐本報判定主因是時區而非基本面——日月光為台股未反映美股當晚弱勢、Amkor為美股已完整反映；⚠️這意味著9/2台股封測補跌機率偏高。⭐韓股(9/1收盤、亦早於美股開盤)：000660 SK海力士+1.14%收1,693,000韓元、005930三星+0.38%收261,000韓元；⚠️兩檔9/2盤中均已明顯回落(-2.8%/-2.3%)，記憶體族群補跌已開始。
(10)⚠️⚠️設備族群修正已依本報前一日所訂標準進入第三階段，該檢核條件成立且結果為負面：8/31日報明訂「LRCX的$300為心理與技術雙重關卡，若9/1跌破則自8/17起累計跌幅將擴大至-13%以上，設備族群修正將進入第三個階段」。⚠️9/1實際：LRCX收$290.20，不僅跌破且低於該關卡$9.80，自8/17的$343.84累計跌幅自-12.32%擴大至-15.60%，超過前報所設-13%門檻達2.6pp。⚠️四檔自8/17累計跌幅：AMAT -17.46%、KLAC -16.95%、LRCX -15.60%、ASML -11.58%。⚠️意涵：設備股為晶圓廠資本支出的領先指標，其持續走弱反映市場對2027年資本支出預期正在下修，屬中期風險而非近期訂單訊號；⚠️背景因素另有7月底中國浸潤式DUV設備量產報導(上海企業預計今年出貨約5台、2027年約20台，來源Bloomberg/CNBC 2026-07-27~28)，惟該消息非9/1觸發點、且中國DUV技術仍落後約一個世代並不觸及EUV。⚠️費半距52週收盤高14,634.72(2026-06-22)的跌幅自-21.19%擴大至-22.86%，在-20%技術性熊市中陷得更深，需上漲3.71%(至11,707.78)才能重回-20%之上，該門檻自前一日的1.5%大幅提高。
(11)⭐相對強弱與ADR：加權指數9/1收46,948.72(+820.25、+1.78%)，2330 +1.46%落後0.36pp——⚠️本日落後主因是聯發科漲停對指數的貢獻，非台積電相對弱勢。⭐5日區間2330 +1.67% vs加權+3.94%(基準均為往前第5個交易日8/25：2330收2,400、加權45,169.46)。⭐1個月2330 +0.62% vs加權+8.88%(基準7/31：2330收2,425、加權43,119.75；⚠️9/1減一個月為8/01週六、非交易日，本報採其之前最近交易日7/31為基準，與8/31版所採基準日相同，故台股1個月報酬自-0.82%轉為+0.62%全部來自現價變動、非基準跳動)。YTD 2330 +53.9% vs加權+60.0% vs費半+53.2%(基準採2026-01-02收盤：2330 NT$1,585、加權29,349.81、SOX 7,367.47)。⚠️beta_60d 1.38沿用既有估算值、本日未重算。⭐⭐ADR溢價自+9.49%大幅壓縮1.95pp至+7.54%(平價5×2440÷31.69＝384.98、溢價414.00÷384.98-1)，且壓縮方式是本報追蹤以來最健康的一種——不是靠ADR上漲、也不是靠台股下跌，而是「台股大漲+1.46%、ADR小跌-0.32%」，亦即台股主動向ADR收斂、把先前累積的折價補足。⚠️惟時序警語：台股9/1收盤時美股尚未開盤，ADR的-0.32%已包含當晚全球公債拋售與費半-2.14%的資訊、台股的+1.46%則完全未包含，故本日壓縮後的+7.54%實為「舊資訊台股價格」對「新資訊ADR價格」，若9/2台股補跌，溢價將進一步壓縮，這是機械結果而非新訊號。
(12)⚠️評價位階再度上移、且本次成因單純：9/1 TWSE官方BWIBBU顯示P/E 28.28x(8/31為27.88x)、P/B 9.84x(9.70x)、殖利率0.90%(自0.91%微降、係股價上漲所致)、市值約NT$63.3兆，⭐本報已確認財報年/季欄位仍為115/2、與8/31同基準，故本次上升純由股價自2,405漲至2,440(+1.46%)造成、分母未變動，兩日數值可直接比較。⚠️P/E 28.28x約當5年第88百分位、P/B約第92百分位，兩者較8/31各再上一階；⚠️⚠️百分位口徑保留同前：這些百分位在舊EPS基準下校準，2026-08-14自115/1切換至115/2後會系統性高估位階，本報查不到重算依據，故僅供方向性參考、不自行編造新百分位。⚠️在8月營收(預計9/10前後公布、本報查證時尚未公布)提供新的獲利上修證據之前，評價本身即構成上檔阻力，這也是2,470以上區間需要基本面新資訊才能挑戰的原因。⭐匯率本日幾乎完全靜止、為追蹤區間內單日波動最小者：新台幣9/1收31.69(Yahoo TWD=X逐時序列16:00台北收盤時點、實際讀數31.688)，較8/31的31.695僅升值0.02%；相對8/13的32.12累計升值1.34%，依官方口徑(每升值1%約-40bps)估算毛利率逆風約-54bps(8/31為1.31%/-52bps)，逆風原地不動、未再惡化。⚠️9/2今晨09:00讀數為31.696(盤中、隨時變動、非收盤價)。
(13)📅資料口徑與缺口聲明：全程TWSE/TAIFEX/Yahoo官方API取數(TWSE一律以curl落檔再讀，本機Python urllib對TWSE會SSL憑證驗證失敗)，ADR收盤經「前收415.32-1.32=414.00」與「415.32×(1-0.32%)」雙重自我檢核✓，台股供應鏈個股(2344/3711/2454)另以TWSE STOCK_DAY官方序列複核。⭐本日Yahoo日線對9/1美股收盤欄位均有值、各檔meta.regularMarketTime均為2026-09-01 20:00 UTC(＝16:00 EDT正規盤收盤)，故直接採日線收盤；⚠️南韓標的(000660/005930)的meta時間戳為9/2韓股盤中，故一律改採9/1官方日線收盤，以維持全報同一交易日口徑。⚠️匯率採Yahoo TWD=X逐時序列9/1 16:00台北時點讀數31.688→31.69，與前一日同法取得的31.695口徑一致、可直接比較。⭐本報主動修正一項既有缺陷：STOCK區塊的pe_nyse與pb_nyse原標示「依ADR換算」，但實際數值與該敘述不符(8/31版標~29.5x/~17.6x，而依台股官方P/E 27.88x與當日ADR溢價+9.49%換算應為30.5x/10.6x，P/B一欄更與官方9.70x相差1.8倍)；自本報起改為確實依所述方式計算，9/1為P/E ~30.4x、P/B ~10.6x，⚠️與8/31版所載不可比、該值為長期沿用的錯誤值而非評價變動。⭐分析師共識「上漲空間」欄位續依既定作法每日隨ADR收盤重算：自9/1收盤$414.00至平均目標$490.34為+18.44%(8/31基準$415.32/+18.07%)。⚠️未能證實項目：台積電8月營收(9/10前公布、查證時尚未發布)、AMAT/LRCX/KLAC於9/1當日跌幅的媒體端一手報導(本報以Yahoo官方日線為準)、蘋果與博通合作開發Baltra AI伺服器晶片是否採用台積電代工。
⭐綜合研判：評級自「中性」上調為「中性偏多」。⭐四項轉好：收2,440越過2,425與2,435兩道壓力並創7/16以來最高收盤、收盤價＝當日最高(連2日)、外資反手買超5,731張且高量經三項反證確認為真實承接、催化劑明確(輝達35億美元入股聯發科、十年AI合作)。⚠️四項未解或轉壞：台股收盤未反映美股當晚-2.14%故9/2補跌壓力明確(夜盤期貨已收2,425、隱含-0.6%)、KDJ的J值94.27為追蹤區間最高且收盤距布林上軌僅3點屬短線過熱、評價位階再度上移至5年第88百分位、設備族群修正依前報標準已進入第三階段。今日(9/2)判定標準：⚠️⚠️第一順位為「9/1剛突破的2,425能否在補跌中守住」——開低幾成定局，故本日是「翻轉後的支撐第一次受測」：⭐若開低後仍收在2,425之上，代表突破有效且台股具備吸收美股利空的能力，可上看2,445(8/28盤中高)與2,470(7/16收盤)；⚠️⚠️若收盤跌回2,425之下，9/1的突破須改判為假突破，且因其發生在「收盤創33個交易日新高」之後，反轉殺傷力會大於一般回檔，下一道防線為10MA 2,400與20MA 2,397的密集帶(相距僅3點)。⚠️第二順位為技術面過熱的消化方式：關鍵不在J值是否回落(幾乎必然)，而在回落時股價是否守穩——若J值回落而股價守穩屬健康消化，若股價先跌而J值仍在80之上即為高檔背離、須列為轉折訊號。⚠️第三順位為本週事件密度：9/2(今日)與9/4各有一次台指選週結算(未平倉將重置、P/C比不具跨日可比性)、SEMICON Taiwan 9/2-9/4於南港展覽館登場、8月營收須於9/10前公布(Q3指引達標須月均約NT$4,851億、7月的4,675.81億仍低3.6%)。上方壓力2,443/2,445/2,470/2,510/2,535，下檔支撐2,435/2,425/2,418/2,400/2,397/2,390/2,385/2,351/2,240。</t>
        </is>
      </c>
      <c r="G118" s="53" t="inlineStr">
        <is>
          <t>Yahoo Finance / Bloomberg</t>
        </is>
      </c>
    </row>
    <row r="119">
      <c r="A119" s="50" t="inlineStr">
        <is>
          <t>2026-09-04</t>
        </is>
      </c>
      <c r="B119" s="50" t="inlineStr">
        <is>
          <t>NT$2,390（9/3收）</t>
        </is>
      </c>
      <c r="C119" s="51" t="inlineStr">
        <is>
          <t>+0.21%（9/3收）</t>
        </is>
      </c>
      <c r="D119" s="50" t="inlineStr">
        <is>
          <t>US$417.01（9/3收）</t>
        </is>
      </c>
      <c r="E119" s="50" t="inlineStr">
        <is>
          <t>14,252（9/3收）</t>
        </is>
      </c>
      <c r="F119" s="52" t="inlineStr">
        <is>
          <t>報告日2026-09-04(Fri)，涵蓋9/2(Wed)與9/3(Thu)兩個交易日收盤。⚠️⚠️本報最重要的結構聲明放在最前面：2026-09-03(Thu)之日報未產製，故本報一次涵蓋兩個交易日，凡標「兩日」者均指9/2至9/3此區間。
(1)⚠️⚠️價格與型態，前報第一號檢核的結果為「明確未過關，且失敗得比預期徹底」：前報訂「突破後的第一次測試：開低幾成定局，2,425能否守住」。9/2開盤2,415即已低於2,425(檢核在開盤那一刻就已失敗)，全日未再觸及，終場收在全日最低2,385(-55、-2.25%)，並跌破8/31起漲點2,405。依型態定義，9/1的2,440應定性為「單日假突破(false breakout)」而非「突破後回測」——回測須守住突破頸線，本例連起漲點都一併跌破。9/3收2,390(+5、+0.21%)，開2,385/高2,400/低2,380，全日振幅僅20點。兩日自9/1的2,440淨跌-50點(-2.05%)。
(2)⚠️均線：9/2收盤2,385一度失守60日季線(當日MA60為2,387)，為8/24以來首次(8/24收2,375&lt;當日MA60 2,381.50)；9/3收2,390重新站回季線(2,388)但僅高出2點，防線脆弱。現價仍位於MA5(2,408)、MA10(2,405)、MA20(2,397)三線之下，均線結構自9/1的「全面多頭」在兩日內退回「短中期轉空、僅長期支撐尚存」。MA5與MA10已靠攏至僅差3點。
(3)⚠️量能兩段須分開解讀：9/2的25,151張搭配-2.25%長黑，是「有量下跌」、屬真實賣壓宣洩；9/3的14,252張(額340.61億)搭配+0.21%小紅，是「無量止跌」，為2026年第4低量(前三低為8/24的13,073、8/17的13,482、8/25的13,538張)，較9/2再縮43.3%、較9/1的31,855張縮55.3%。⚠️本報不將9/3的小紅認定為底部訊號：無量止跌可以是打底第一步，也可能只是下跌中繼的休息。
(4)⚠️籌碼是本區間最明確的利空證據：外資9/2單日賣超11,987張(T86官方-11,986,983股)，為本報追蹤區間內的極端值，與9/1買超5,731張完全反手；投信賣837張、自營買72張。9/3賣壓大幅收斂：外資賣961張(-960,755股)、投信買51張(+51,332股)、自營賣89張(-88,899股)，三大法人合計約-999張(官方合計欄-998,322股)。⚠️賣壓減弱但無任何一方轉為積極買進。
(5)⚠️⚠️技術指標四項全數轉弱且出現兩個死叉：MACD柱狀體自+8.68→+2.93→-0.35翻負，DIF 8.43下穿DEA 8.61完成死叉，為8/04(-12.36)以來首次翻負、相隔21個交易日；KDJ已於9/2完成死叉(K 63.03&lt;D 65.72)，9/3擴大至K 56.06&lt;D 62.50，J值自94.27兩日崩落至43.18(-51.09點)——此驗證了前報「KDJ為四項中唯一警訊」之判斷為正確；RSI(14)自56.26退至49.88，重回50之下。⭐兩項保留：MACD翻負僅-0.35屬「剛好越線」非趨勢確立，且DIF仍在零軸之上，屬高檔死叉；J值43.18仍在超賣區20之上。布林寬度自91.5縮至87.5點(-4.4%)，已依例查核滾入/滾出，判定為真實波動率下降而非單一極端值滾出的機械效果。
(6)⭐⭐本區間最重要的基本面消息與股價方向相反，必須並陳：台積電副共同營運長侯永清9/2於SEMICON Taiwan揭露，季度設備採購需求已達2025年12月預估的1.9倍(Q1為1.5倍、7月達1.9倍)，2026年資本支出自4月指引的520-560億美元大幅上修至600-640億美元，70-80%投入先進製程；台灣在建13座、海外5-6座晶圓廠，同時興建規模約為歷史常態的4-5倍，設備仍供不應求。⚠️但9/2當日股價收-2.25%，市場未給予正面回應。本報判讀：此為需求強勁的直接佐證，惟資本支出上修同時意味折舊壓力與自由現金流稀釋(較4月指引中位數增約15%)，且「設備供不應求」暗示產能開出時程存在不確定性。
(7)⚠️⚠️本區間最具警示性的單一事件在客戶端：博通(AVGO)9/3公布Q3財報，營收295.9億美元(優於預期293.6億)、EPS 3.32美元(優於預期3.24)，數字雙雙超標，但僅因Q4營收展望348億美元略低於預期350.3億，股價即在S&amp;P 500上漲1.06%的當日逆勢重挫-2.74%收357.16美元。⚠️對台積電的直接推論：市場對AI供應鏈「僅小幅超標」的容忍度已明顯下降，10月中旬Q3法說會若僅小幅超越7/16所給的446-458億美元指引，可能面臨同樣的評價修正。此屬評價風險而非獲利風險。
(8)⭐AI需求的下游驗證：戴爾(DELL)Q2營收470億美元(+58%YoY)、EPS 7.04美元(遠優於預期4.87)，AI伺服器營收倍增至164億美元，單季新增AI伺服器訂單609億美元，未出貨積壓訂單創紀錄950億美元(前值513億)，全年財測上修至營收1,920億美元。股價9/2大漲+15.81%收492.20、9/3再漲+4.91%收516.39美元。
(9)⭐ADR與夜盤是今日唯一明確偏多的線索：TSM ADR 9/2、9/3連兩日收紅至417.01美元(+0.36%)，完全未跟隨台股9/2補跌；對台股溢價自9/1的7.54%擴大至9/3的10.66%(理論平價5×2,390÷31.71=376.85)，為追蹤區間高位。台指期夜盤(TAIFEX日期標記9/4「盤後」列，即9/3晚至9/4晨)台積電個股期CDF 202609收2,410(+20、+0.84%)、大盤台指期TX收46,487(+668、+1.46%)，方向一致指向今日開高。
(10)⚠️⚠️但開高的性質必須講清楚：9/3美股是「大盤全面型」而非「半導體帶動型」上漲——S&amp;P 500收7,747.71(+1.06%)、那斯達克26,584.06(+1.40%)、VIX降至14.32(-5.79%)，但費城半導體指數僅收11,352.13(+0.11%)幾乎持平，且博通-2.74%、艾司摩爾-2.15%同步走弱。上漲主因為聯準會理事沃勒(Christopher Waller)偏鴿發言帶動公債殖利率回落，同日ADP私部門就業僅增3.8萬人、低於預期4.7萬人。今日若開高，動能來自總經風險偏好而非半導體基本面。
(11)⭐供應鏈9/3：日月光589.00元(0.00%持平、兩日自610.00跌-3.44%)、華邦電169.00元(-5.59%，台股追蹤標的中跌幅最大)、聯發科4,340元(+1.52%，兩日淨漲+0.58%，相對強度明顯優於台積電)、輝達228.45美元(+1.80%)、蘋果328.21美元(+1.00%)、美光958.16美元(+0.22%)、英特爾91.67美元(+1.80%)、Arm 242.59美元(+3.29%)、AMD 456.16美元(-0.20%)、Amkor 46.94美元(-0.49%)、SK海力士1,596,000韓元(-1.05%)、三星250,000韓元(-0.20%)。設備四雄：ASML 1,646.19美元(-2.15%，在大盤上漲日背離)、AMAT 435.91(-0.58%，連3日跌累計-4.90%)、LRCX 292.66(+1.51%，但本報8/31所訂300美元關卡已連3日未收復、檢核維持未過)、KLAC 172.94(+0.39%)。
(12)⭐相對強弱與評價：加權指數9/2收46,164.72(-784.00、-1.67%)、9/3收45,857.66(-307.06、-0.67%)；⭐9/3台積電+0.21%對大盤-0.67%，超額報酬+0.88pp，為兩日中唯一的相對強度亮點。評價：TWSE官方BWIBBU 9/3顯示P/E 27.70x、P/B 9.64x、殖利率0.92%(9/1為28.28x/9.84x/0.90%)，財報基準維持115/2未變動，因此下降100%來自股價下跌，屬分子調整而非換基準，可與8/14以後各日直接比較。市值約NT$62.0兆(9/1為63.3兆，兩日蒸發約1.3兆)。
(13)⚠️衍生品：台積電個股期CDF 202609日盤9/3收2,390(-4、-0.17%、成交3,985口)，對現貨2,390為完全平價(9/1為正價差+3)，未平倉23,157口(9/1為24,169口、兩日續減1,012口)。⚠️⚠️台指選擇權P/C比本日不可作方向判斷：TXO每週三與週五均結算，9/2(週三)為結算日、未平倉全數重置(9/2賣權45,076/買權53,724口，較9/1的82,948/75,379口大幅縮減)，9/3的65,726/85,180口(P/C 77.16%)是結算後首日的重建部位，與9/1的1.10口徑上完全不可比較。欄序已依例以Unicode碼位驗證TAIFEX pcRatioDown為「賣權在前」。
(14)📅資料口徑與缺口聲明：全程TWSE/TAIFEX/Yahoo官方端點取數(TWSE一律以curl落檔再讀)。⭐技術指標依TWSE官方收盤序列(2026-01-02~2026-09-03共162個交易日)自行計算，並依例先重算9/1各項指標、與9/2日報已發布值完全一致(RSI 56.26、MACD 8.68、K 76.13/D 67.06/J 94.27、MA5 2,418、BB 2,443/2,397/2,351)後才採用9/3之值。⚠️美股9/3的Yahoo日線close欄位為null，已改採meta.regularMarketPrice並驗證時間戳為20:00 UTC(16:00 ET)之收盤讀數，未以盤中價冒充收盤；AMKR首次請求連線中斷、已重新取數，未沿用前一日數值造成假性持平。⚠️韓股9/4盤中價(SK海力士1,648,000韓元、三星255,500韓元)已標明時點、不列入比較。⚠️台積電8月營收尚未公布(慣例9/10前)，屬「時間未到」非「查無」，本報不預測數字。⚠️台美半導體關稅與對中出口管制在9/2-9/3兩日查無新進展，已標為「政策背景」而非本週新聞。新台幣9/3 16:00台北時點收31.71(9/1為31.69、微貶0.06%)，對毛利率影響不足3bps、非本區間驅動因素。
⭐綜合研判：評級自「中性偏多」下調為「中性」。⚠️四項轉壞：9/1突破證實為假突破且兩日淨跌-50點、9/2曾失守季線、技術面兩個死叉(MACD+KDJ)且RSI回落至50之下、外資9/2單日極端賣超11,987張。⭐三項未壞：9/3賣壓大幅收斂且無量止跌、收盤重新站回季線、ADR兩日連紅使溢價擴大至10.66%且夜盤CDF +0.84%指向今日開高。⭐立場：「開高不追、觀察2,405-2,418的回補力道」——今日檢核依優先順序為(1)能否站上並收在5MA 2,408之上；(2)ADR溢價10.66%的缺口向哪一邊收斂；(3)今晚美國8月非農就業報告，9/3的美股漲勢完全建立在殖利率回落之上，數據若與ADP背離將立即回收。⚠️失敗條件：若開高後收在2,397(MA20＝布林中軌)之下，9/1至今的型態確立為頭部。</t>
        </is>
      </c>
      <c r="G119" s="50" t="inlineStr">
        <is>
          <t>Yahoo Finance / Bloomberg</t>
        </is>
      </c>
    </row>
  </sheetData>
  <mergeCells count="3">
    <mergeCell ref="A2:G2"/>
    <mergeCell ref="A1:G1"/>
    <mergeCell ref="A7:G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2026-03-09T09:41:41Z</dcterms:created>
  <dcterms:modified xmlns:dcterms="http://purl.org/dc/terms/" xmlns:xsi="http://www.w3.org/2001/XMLSchema-instance" xsi:type="dcterms:W3CDTF">2026-09-04T01:36:39Z</dcterms:modified>
  <cp:lastModifiedBy>吳銘祥 Tom Wu</cp:lastModifiedBy>
</cp:coreProperties>
</file>